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wutwaw.sharepoint.com/sites/9F7F286B-286D-4E4E-9CFC-8201D2198B77.teams/Projekt EXCEL/Submitted files/Projekt 8/Wersja 2/"/>
    </mc:Choice>
  </mc:AlternateContent>
  <xr:revisionPtr revIDLastSave="1511" documentId="8_{2B559CD2-7D82-43FE-BEB8-79199850B22E}" xr6:coauthVersionLast="47" xr6:coauthVersionMax="47" xr10:uidLastSave="{72F76EB6-01FE-4486-BC2A-E40DD9732B45}"/>
  <bookViews>
    <workbookView xWindow="-120" yWindow="-120" windowWidth="29040" windowHeight="15840" xr2:uid="{235CF4CF-8583-43EF-AE03-51BCFB533E5B}"/>
  </bookViews>
  <sheets>
    <sheet name="Arkusz1" sheetId="1" r:id="rId1"/>
    <sheet name="Arkusz2" sheetId="2" r:id="rId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G14" i="2" a="1"/>
  <c r="J15" i="2" a="1"/>
  <c r="I12" i="2" a="1"/>
  <c r="E15" i="2" a="1"/>
  <c r="J14" i="2" a="1"/>
  <c r="F11" i="2" a="1"/>
  <c r="AA14" i="1" a="1"/>
  <c r="AB13" i="1" a="1"/>
  <c r="AB12" i="1" a="1"/>
  <c r="AA11" i="1" a="1"/>
  <c r="T16" i="1" a="1"/>
  <c r="U13" i="1" a="1"/>
  <c r="X14" i="1" a="1"/>
  <c r="U12" i="1" a="1"/>
  <c r="W11" i="1" a="1"/>
  <c r="U14" i="1" a="1"/>
  <c r="J16" i="2" a="1"/>
  <c r="U16" i="1" a="1"/>
  <c r="C11" i="2" a="1"/>
  <c r="C15" i="2" a="1"/>
  <c r="D12" i="2" a="1"/>
  <c r="I13" i="2" a="1"/>
  <c r="I15" i="2" a="1"/>
  <c r="F15" i="2" a="1"/>
  <c r="G11" i="2" a="1"/>
  <c r="AE15" i="1" a="1"/>
  <c r="AF14" i="1" a="1"/>
  <c r="AA16" i="1" a="1"/>
  <c r="AC14" i="1" a="1"/>
  <c r="X16" i="1" a="1"/>
  <c r="S14" i="1" a="1"/>
  <c r="V15" i="1" a="1"/>
  <c r="W13" i="1" a="1"/>
  <c r="X11" i="1" a="1"/>
  <c r="S11" i="1" a="1"/>
  <c r="F14" i="2" a="1"/>
  <c r="C11" i="1" a="1"/>
  <c r="G15" i="2" a="1"/>
  <c r="D13" i="2" a="1"/>
  <c r="I14" i="2" a="1"/>
  <c r="I16" i="2" a="1"/>
  <c r="G16" i="2" a="1"/>
  <c r="AF16" i="1" a="1"/>
  <c r="AE12" i="1" a="1"/>
  <c r="AC15" i="1" a="1"/>
  <c r="AF15" i="1" a="1"/>
  <c r="AA12" i="1" a="1"/>
  <c r="W16" i="1" a="1"/>
  <c r="W14" i="1" a="1"/>
  <c r="X13" i="1" a="1"/>
  <c r="J11" i="2" a="1"/>
  <c r="C12" i="2" a="1"/>
  <c r="C16" i="2" a="1"/>
  <c r="D14" i="2" a="1"/>
  <c r="E16" i="2" a="1"/>
  <c r="F12" i="2" a="1"/>
  <c r="D11" i="2" a="1"/>
  <c r="AC16" i="1" a="1"/>
  <c r="AD11" i="1" a="1"/>
  <c r="AD16" i="1" a="1"/>
  <c r="AA15" i="1" a="1"/>
  <c r="AF12" i="1" a="1"/>
  <c r="V16" i="1" a="1"/>
  <c r="U15" i="1" a="1"/>
  <c r="X15" i="1" a="1"/>
  <c r="W15" i="1" a="1"/>
  <c r="V14" i="1" a="1"/>
  <c r="C14" i="2" a="1"/>
  <c r="G12" i="2" a="1"/>
  <c r="H12" i="2" a="1"/>
  <c r="D15" i="2" a="1"/>
  <c r="F16" i="2" a="1"/>
  <c r="J12" i="2" a="1"/>
  <c r="H11" i="2" a="1"/>
  <c r="AE14" i="1" a="1"/>
  <c r="AE16" i="1" a="1"/>
  <c r="AC11" i="1" a="1"/>
  <c r="AD12" i="1" a="1"/>
  <c r="AD14" i="1" a="1"/>
  <c r="K11" i="1" a="1"/>
  <c r="T12" i="1" a="1"/>
  <c r="S13" i="1" a="1"/>
  <c r="T13" i="1" a="1"/>
  <c r="E14" i="2" a="1"/>
  <c r="W12" i="1" a="1"/>
  <c r="C13" i="2" a="1"/>
  <c r="H13" i="2" a="1"/>
  <c r="H15" i="2" a="1"/>
  <c r="E12" i="2" a="1"/>
  <c r="F13" i="2" a="1"/>
  <c r="E11" i="2" a="1"/>
  <c r="AF13" i="1" a="1"/>
  <c r="AD15" i="1" a="1"/>
  <c r="AB11" i="1" a="1"/>
  <c r="AC12" i="1" a="1"/>
  <c r="AB15" i="1" a="1"/>
  <c r="T11" i="1" a="1"/>
  <c r="X12" i="1" a="1"/>
  <c r="S15" i="1" a="1"/>
  <c r="V12" i="1" a="1"/>
  <c r="V13" i="1" a="1"/>
  <c r="D16" i="2" a="1"/>
  <c r="T15" i="1" a="1"/>
  <c r="G13" i="2" a="1"/>
  <c r="H14" i="2" a="1"/>
  <c r="H16" i="2" a="1"/>
  <c r="E13" i="2" a="1"/>
  <c r="J13" i="2" a="1"/>
  <c r="I11" i="2" a="1"/>
  <c r="AE13" i="1" a="1"/>
  <c r="AC13" i="1" a="1"/>
  <c r="AE11" i="1" a="1"/>
  <c r="AF11" i="1" a="1"/>
  <c r="S16" i="1" a="1"/>
  <c r="S12" i="1" a="1"/>
  <c r="U11" i="1" a="1"/>
  <c r="AB16" i="1" a="1"/>
  <c r="AA13" i="1" a="1"/>
  <c r="AB14" i="1" a="1"/>
  <c r="AD13" i="1" a="1"/>
  <c r="T14" i="1" a="1"/>
  <c r="V11" i="1" a="1"/>
  <c r="C11" i="2" l="1"/>
  <c r="C11" i="1"/>
  <c r="G16" i="2"/>
  <c r="F15" i="2"/>
  <c r="J14" i="2"/>
  <c r="F14" i="2"/>
  <c r="J13" i="2"/>
  <c r="F13" i="2"/>
  <c r="J12" i="2"/>
  <c r="F12" i="2"/>
  <c r="I16" i="2"/>
  <c r="I15" i="2"/>
  <c r="E15" i="2"/>
  <c r="E14" i="2"/>
  <c r="E13" i="2"/>
  <c r="E12" i="2"/>
  <c r="F16" i="2"/>
  <c r="E16" i="2"/>
  <c r="I14" i="2"/>
  <c r="I13" i="2"/>
  <c r="I12" i="2"/>
  <c r="J16" i="2"/>
  <c r="H16" i="2"/>
  <c r="H15" i="2"/>
  <c r="D15" i="2"/>
  <c r="D14" i="2"/>
  <c r="D13" i="2"/>
  <c r="D12" i="2"/>
  <c r="J15" i="2"/>
  <c r="D16" i="2"/>
  <c r="H14" i="2"/>
  <c r="H13" i="2"/>
  <c r="H12" i="2"/>
  <c r="C16" i="2"/>
  <c r="G15" i="2"/>
  <c r="C15" i="2"/>
  <c r="G14" i="2"/>
  <c r="C14" i="2"/>
  <c r="G13" i="2"/>
  <c r="C13" i="2"/>
  <c r="G12" i="2"/>
  <c r="C12" i="2"/>
  <c r="G11" i="2"/>
  <c r="F11" i="2"/>
  <c r="J11" i="2"/>
  <c r="I11" i="2"/>
  <c r="E11" i="2"/>
  <c r="H11" i="2"/>
  <c r="D11" i="2"/>
  <c r="C21" i="2"/>
  <c r="K11" i="1"/>
  <c r="T11" i="1"/>
  <c r="V12" i="1"/>
  <c r="V14" i="1"/>
  <c r="W15" i="1"/>
  <c r="U14" i="1"/>
  <c r="W13" i="1"/>
  <c r="U12" i="1"/>
  <c r="T15" i="1"/>
  <c r="T13" i="1"/>
  <c r="S15" i="1"/>
  <c r="S13" i="1"/>
  <c r="X15" i="1"/>
  <c r="X13" i="1"/>
  <c r="V15" i="1"/>
  <c r="X14" i="1"/>
  <c r="T14" i="1"/>
  <c r="V13" i="1"/>
  <c r="X12" i="1"/>
  <c r="T12" i="1"/>
  <c r="U15" i="1"/>
  <c r="W14" i="1"/>
  <c r="S14" i="1"/>
  <c r="U13" i="1"/>
  <c r="W12" i="1"/>
  <c r="S12" i="1"/>
  <c r="X11" i="1"/>
  <c r="W11" i="1"/>
  <c r="V11" i="1"/>
  <c r="U11" i="1"/>
  <c r="S11" i="1"/>
  <c r="V16" i="1"/>
  <c r="W16" i="1"/>
  <c r="U16" i="1"/>
  <c r="S16" i="1"/>
  <c r="X16" i="1"/>
  <c r="T16" i="1"/>
  <c r="AD13" i="1"/>
  <c r="AC15" i="1"/>
  <c r="AC13" i="1"/>
  <c r="AF15" i="1"/>
  <c r="AD14" i="1"/>
  <c r="AF13" i="1"/>
  <c r="AB13" i="1"/>
  <c r="AD12" i="1"/>
  <c r="AA13" i="1"/>
  <c r="AE16" i="1"/>
  <c r="AA14" i="1"/>
  <c r="AD16" i="1"/>
  <c r="AC12" i="1"/>
  <c r="AA16" i="1"/>
  <c r="AE12" i="1"/>
  <c r="AB15" i="1"/>
  <c r="AE15" i="1"/>
  <c r="AC14" i="1"/>
  <c r="AF16" i="1"/>
  <c r="AD15" i="1"/>
  <c r="AB14" i="1"/>
  <c r="AB12" i="1"/>
  <c r="AE14" i="1"/>
  <c r="AA12" i="1"/>
  <c r="AC16" i="1"/>
  <c r="AA15" i="1"/>
  <c r="AE13" i="1"/>
  <c r="AB16" i="1"/>
  <c r="AF14" i="1"/>
  <c r="AF12" i="1"/>
  <c r="AF11" i="1"/>
  <c r="AD11" i="1"/>
  <c r="AE11" i="1"/>
  <c r="AC11" i="1"/>
  <c r="AB11" i="1"/>
  <c r="AA11" i="1"/>
  <c r="P14" i="1" a="1"/>
  <c r="M11" i="1" a="1"/>
  <c r="M14" i="1" a="1"/>
  <c r="O15" i="1" a="1"/>
  <c r="O14" i="1" a="1"/>
  <c r="M12" i="1" a="1"/>
  <c r="P13" i="1" a="1"/>
  <c r="O16" i="1" a="1"/>
  <c r="O13" i="1" a="1"/>
  <c r="K16" i="1" a="1"/>
  <c r="L15" i="1" a="1"/>
  <c r="K15" i="1" a="1"/>
  <c r="M15" i="1" a="1"/>
  <c r="O12" i="1" a="1"/>
  <c r="L11" i="1" a="1"/>
  <c r="P16" i="1" a="1"/>
  <c r="P11" i="1" a="1"/>
  <c r="N16" i="1" a="1"/>
  <c r="N11" i="1" a="1"/>
  <c r="K12" i="1" a="1"/>
  <c r="N15" i="1" a="1"/>
  <c r="N14" i="1" a="1"/>
  <c r="N12" i="1" a="1"/>
  <c r="L16" i="1" a="1"/>
  <c r="K13" i="1" a="1"/>
  <c r="M13" i="1" a="1"/>
  <c r="C14" i="1" a="1"/>
  <c r="L14" i="1" a="1"/>
  <c r="P12" i="1" a="1"/>
  <c r="M16" i="1" a="1"/>
  <c r="P15" i="1" a="1"/>
  <c r="C12" i="1" a="1"/>
  <c r="K14" i="1" a="1"/>
  <c r="C13" i="1" a="1"/>
  <c r="L13" i="1" a="1"/>
  <c r="L12" i="1" a="1"/>
  <c r="C15" i="1" a="1"/>
  <c r="O11" i="1" a="1"/>
  <c r="N13" i="1" a="1"/>
  <c r="N12" i="1" l="1"/>
  <c r="P15" i="1"/>
  <c r="L15" i="1"/>
  <c r="N14" i="1"/>
  <c r="P13" i="1"/>
  <c r="L13" i="1"/>
  <c r="N16" i="1"/>
  <c r="K15" i="1"/>
  <c r="M14" i="1"/>
  <c r="O13" i="1"/>
  <c r="K13" i="1"/>
  <c r="M12" i="1"/>
  <c r="M16" i="1"/>
  <c r="P16" i="1"/>
  <c r="L16" i="1"/>
  <c r="P14" i="1"/>
  <c r="L14" i="1"/>
  <c r="N13" i="1"/>
  <c r="L12" i="1"/>
  <c r="O15" i="1"/>
  <c r="N15" i="1"/>
  <c r="P12" i="1"/>
  <c r="O16" i="1"/>
  <c r="K16" i="1"/>
  <c r="M15" i="1"/>
  <c r="O14" i="1"/>
  <c r="K14" i="1"/>
  <c r="M13" i="1"/>
  <c r="O12" i="1"/>
  <c r="K12" i="1"/>
  <c r="P11" i="1"/>
  <c r="O11" i="1"/>
  <c r="M11" i="1"/>
  <c r="N11" i="1"/>
  <c r="L11" i="1"/>
  <c r="C14" i="1"/>
  <c r="C15" i="1"/>
  <c r="C13" i="1"/>
  <c r="C12" i="1"/>
  <c r="J6" i="2"/>
  <c r="F6" i="2"/>
  <c r="E6" i="2"/>
  <c r="D6" i="2"/>
  <c r="H6" i="2"/>
  <c r="E6" i="1"/>
  <c r="E5" i="1"/>
  <c r="D6" i="1"/>
  <c r="C6" i="1"/>
  <c r="D5" i="1"/>
  <c r="E12" i="1" a="1"/>
  <c r="E11" i="1" a="1"/>
  <c r="C16" i="1" a="1"/>
  <c r="D16" i="1" a="1"/>
  <c r="G16" i="1" a="1"/>
  <c r="G13" i="1" a="1"/>
  <c r="E13" i="1" a="1"/>
  <c r="G14" i="1" a="1"/>
  <c r="H16" i="1" a="1"/>
  <c r="D11" i="1" a="1"/>
  <c r="F16" i="1" a="1"/>
  <c r="G15" i="1" a="1"/>
  <c r="H14" i="1" a="1"/>
  <c r="D15" i="1" a="1"/>
  <c r="H12" i="1" a="1"/>
  <c r="G11" i="1" a="1"/>
  <c r="E16" i="1" a="1"/>
  <c r="H11" i="1" a="1"/>
  <c r="D13" i="1" a="1"/>
  <c r="F14" i="1" a="1"/>
  <c r="F15" i="1" a="1"/>
  <c r="G12" i="1" a="1"/>
  <c r="E14" i="1" a="1"/>
  <c r="F12" i="1" a="1"/>
  <c r="D14" i="1" a="1"/>
  <c r="D12" i="1" a="1"/>
  <c r="H15" i="1" a="1"/>
  <c r="F13" i="1" a="1"/>
  <c r="F11" i="1" a="1"/>
  <c r="H13" i="1" a="1"/>
  <c r="E15" i="1" a="1"/>
  <c r="H16" i="1" l="1"/>
  <c r="D16" i="1"/>
  <c r="E16" i="1"/>
  <c r="G16" i="1"/>
  <c r="C16" i="1"/>
  <c r="F16" i="1"/>
  <c r="E15" i="1"/>
  <c r="G14" i="1"/>
  <c r="E13" i="1"/>
  <c r="H15" i="1"/>
  <c r="D15" i="1"/>
  <c r="F14" i="1"/>
  <c r="H13" i="1"/>
  <c r="D13" i="1"/>
  <c r="G15" i="1"/>
  <c r="E14" i="1"/>
  <c r="G13" i="1"/>
  <c r="F15" i="1"/>
  <c r="H14" i="1"/>
  <c r="D14" i="1"/>
  <c r="F13" i="1"/>
  <c r="E12" i="1"/>
  <c r="H12" i="1"/>
  <c r="D12" i="1"/>
  <c r="G12" i="1"/>
  <c r="F12" i="1"/>
  <c r="F11" i="1"/>
  <c r="E11" i="1"/>
  <c r="H11" i="1"/>
  <c r="D11" i="1"/>
  <c r="G11" i="1"/>
  <c r="C26" i="2"/>
  <c r="F24" i="2"/>
  <c r="I22" i="2"/>
  <c r="J21" i="2"/>
  <c r="C22" i="2"/>
  <c r="J26" i="2"/>
  <c r="J25" i="2"/>
  <c r="J24" i="2"/>
  <c r="J23" i="2"/>
  <c r="F23" i="2"/>
  <c r="F22" i="2"/>
  <c r="F26" i="2"/>
  <c r="F25" i="2"/>
  <c r="J22" i="2"/>
  <c r="E26" i="2"/>
  <c r="E25" i="2"/>
  <c r="E24" i="2"/>
  <c r="I23" i="2"/>
  <c r="E23" i="2"/>
  <c r="E22" i="2"/>
  <c r="I26" i="2"/>
  <c r="I25" i="2"/>
  <c r="I24" i="2"/>
  <c r="H26" i="2"/>
  <c r="D26" i="2"/>
  <c r="D25" i="2"/>
  <c r="D24" i="2"/>
  <c r="H23" i="2"/>
  <c r="D23" i="2"/>
  <c r="D22" i="2"/>
  <c r="H25" i="2"/>
  <c r="H24" i="2"/>
  <c r="H22" i="2"/>
  <c r="G26" i="2"/>
  <c r="G25" i="2"/>
  <c r="C25" i="2"/>
  <c r="G24" i="2"/>
  <c r="C24" i="2"/>
  <c r="G23" i="2"/>
  <c r="C23" i="2"/>
  <c r="G22" i="2"/>
  <c r="G21" i="2"/>
  <c r="F21" i="2"/>
  <c r="I21" i="2"/>
  <c r="E21" i="2"/>
  <c r="H21" i="2"/>
  <c r="D2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<sst xmlns="http://schemas.openxmlformats.org/spreadsheetml/2006/main" count="81" uniqueCount="51">
  <si>
    <t>Funkcja 1</t>
  </si>
  <si>
    <t>Funkcja 2</t>
  </si>
  <si>
    <t>Funkcja 3</t>
  </si>
  <si>
    <t>Funkcja 4</t>
  </si>
  <si>
    <t>funkcja</t>
  </si>
  <si>
    <t>Log(x)/(1 - x)</t>
  </si>
  <si>
    <t>1 / ((1 - x ^ 2) ^ (1 / 2))</t>
  </si>
  <si>
    <t>(Tan(x)) ^ (1 / 2)</t>
  </si>
  <si>
    <t>Log(Sin(x))</t>
  </si>
  <si>
    <t>początek przedziału</t>
  </si>
  <si>
    <t>koniec przedziału</t>
  </si>
  <si>
    <t>wartość całki</t>
  </si>
  <si>
    <t>liczba węzłów</t>
  </si>
  <si>
    <t>liczba ewaluacji</t>
  </si>
  <si>
    <t>rzędu 2</t>
  </si>
  <si>
    <t>rzędu 4</t>
  </si>
  <si>
    <t>rzędu 6</t>
  </si>
  <si>
    <t>rzędu 8</t>
  </si>
  <si>
    <t>Stopień wielomianu</t>
  </si>
  <si>
    <t>2000x+5</t>
  </si>
  <si>
    <t>2000x^2+2x+3</t>
  </si>
  <si>
    <t>2000x^3+3x^2+2x+3</t>
  </si>
  <si>
    <t>2000x^4+2x^3+3x^2+5x+4</t>
  </si>
  <si>
    <t>2000x^5+2x^3+5x^2+5x+7</t>
  </si>
  <si>
    <t>2000x^6+2x^4+5x^3+5x+7</t>
  </si>
  <si>
    <t>5000x^7-2x+4</t>
  </si>
  <si>
    <t>80001x^8+2x^6+2x^4+5x^3+5x+7</t>
  </si>
  <si>
    <t>ilość wezłów</t>
  </si>
  <si>
    <t>Początek przedziału</t>
  </si>
  <si>
    <t>Koniec przedziału</t>
  </si>
  <si>
    <t>Wartość całki</t>
  </si>
  <si>
    <t>Ilość węzłów</t>
  </si>
  <si>
    <t>Stopień = 1</t>
  </si>
  <si>
    <t>Stopień = 2</t>
  </si>
  <si>
    <t>Stopień = 3</t>
  </si>
  <si>
    <t>Stopień = 4</t>
  </si>
  <si>
    <t>Stopień = 5</t>
  </si>
  <si>
    <t>Stopień = 6</t>
  </si>
  <si>
    <t>Stopień = 7</t>
  </si>
  <si>
    <t>Stopień = 8</t>
  </si>
  <si>
    <t>Łączna liczba ewaluacji</t>
  </si>
  <si>
    <t xml:space="preserve"> </t>
  </si>
  <si>
    <t>Wielomian</t>
  </si>
  <si>
    <t>Wielomian 1</t>
  </si>
  <si>
    <t>Wielomian 2</t>
  </si>
  <si>
    <t>Wielomian 3</t>
  </si>
  <si>
    <t>Wielomian 4</t>
  </si>
  <si>
    <t>Wielomian 5</t>
  </si>
  <si>
    <t>Wielomian 6</t>
  </si>
  <si>
    <t>Wielomian 7</t>
  </si>
  <si>
    <t>Wielomian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</si>
</sst>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0000"/>
  </numFmts>
  <fonts count="2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164" fontId="0" fillId="0" borderId="0" xfId="0" applyNumberFormat="1"/>
    <xf numFmtId="0" fontId="0" fillId="2" borderId="1" xfId="0" applyFill="1" applyBorder="1"/>
    <xf numFmtId="0" fontId="0" fillId="3" borderId="2" xfId="0" applyFill="1" applyBorder="1"/>
    <xf numFmtId="0" fontId="0" fillId="3" borderId="6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22" xfId="0" applyFill="1" applyBorder="1"/>
    <xf numFmtId="164" fontId="0" fillId="3" borderId="17" xfId="0" applyNumberFormat="1" applyFill="1" applyBorder="1"/>
    <xf numFmtId="0" fontId="0" fillId="2" borderId="23" xfId="0" applyFill="1" applyBorder="1"/>
    <xf numFmtId="0" fontId="0" fillId="2" borderId="24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0" fillId="7" borderId="24" xfId="0" applyFill="1" applyBorder="1"/>
    <xf numFmtId="0" fontId="0" fillId="7" borderId="25" xfId="0" applyFill="1" applyBorder="1"/>
    <xf numFmtId="0" fontId="0" fillId="7" borderId="23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2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8" xfId="0" applyFill="1" applyBorder="1"/>
    <xf numFmtId="0" fontId="0" fillId="6" borderId="1" xfId="0" applyFill="1" applyBorder="1"/>
    <xf numFmtId="0" fontId="0" fillId="6" borderId="19" xfId="0" applyFill="1" applyBorder="1"/>
    <xf numFmtId="0" fontId="0" fillId="6" borderId="20" xfId="0" applyFill="1" applyBorder="1"/>
    <xf numFmtId="0" fontId="0" fillId="7" borderId="1" xfId="0" applyFill="1" applyBorder="1"/>
    <xf numFmtId="0" fontId="0" fillId="5" borderId="2" xfId="0" applyFill="1" applyBorder="1"/>
    <xf numFmtId="0" fontId="0" fillId="4" borderId="2" xfId="0" applyFill="1" applyBorder="1"/>
    <xf numFmtId="165" fontId="0" fillId="2" borderId="25" xfId="0" applyNumberFormat="1" applyFill="1" applyBorder="1"/>
    <xf numFmtId="0" fontId="0" fillId="2" borderId="29" xfId="0" applyFill="1" applyBorder="1"/>
    <xf numFmtId="0" fontId="0" fillId="5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0" fillId="5" borderId="14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7" xfId="0" applyFill="1" applyBorder="1"/>
    <xf numFmtId="0" fontId="0" fillId="4" borderId="18" xfId="0" applyFill="1" applyBorder="1"/>
    <xf numFmtId="0" fontId="0" fillId="2" borderId="25" xfId="0" applyFill="1" applyBorder="1"/>
    <xf numFmtId="0" fontId="0" fillId="3" borderId="21" xfId="0" applyFill="1" applyBorder="1"/>
    <xf numFmtId="0" fontId="0" fillId="3" borderId="15" xfId="0" applyFill="1" applyBorder="1"/>
    <xf numFmtId="164" fontId="0" fillId="3" borderId="18" xfId="0" applyNumberFormat="1" applyFill="1" applyBorder="1"/>
    <xf numFmtId="164" fontId="0" fillId="8" borderId="3" xfId="0" applyNumberFormat="1" applyFill="1" applyBorder="1"/>
    <xf numFmtId="0" fontId="0" fillId="9" borderId="20" xfId="0" applyFill="1" applyBorder="1"/>
    <xf numFmtId="164" fontId="0" fillId="8" borderId="2" xfId="0" applyNumberFormat="1" applyFill="1" applyBorder="1"/>
    <xf numFmtId="164" fontId="0" fillId="8" borderId="6" xfId="0" applyNumberFormat="1" applyFill="1" applyBorder="1"/>
    <xf numFmtId="0" fontId="0" fillId="9" borderId="29" xfId="0" applyFill="1" applyBorder="1"/>
    <xf numFmtId="0" fontId="0" fillId="9" borderId="27" xfId="0" applyFill="1" applyBorder="1"/>
    <xf numFmtId="0" fontId="0" fillId="9" borderId="28" xfId="0" applyFill="1" applyBorder="1"/>
    <xf numFmtId="164" fontId="0" fillId="8" borderId="4" xfId="0" applyNumberFormat="1" applyFill="1" applyBorder="1"/>
    <xf numFmtId="0" fontId="0" fillId="9" borderId="23" xfId="0" applyFill="1" applyBorder="1"/>
    <xf numFmtId="0" fontId="0" fillId="9" borderId="30" xfId="0" applyFill="1" applyBorder="1"/>
    <xf numFmtId="0" fontId="0" fillId="8" borderId="28" xfId="0" applyFill="1" applyBorder="1"/>
    <xf numFmtId="0" fontId="0" fillId="6" borderId="26" xfId="0" applyFill="1" applyBorder="1"/>
    <xf numFmtId="0" fontId="0" fillId="6" borderId="27" xfId="0" applyFill="1" applyBorder="1"/>
    <xf numFmtId="0" fontId="0" fillId="6" borderId="28" xfId="0" applyFill="1" applyBorder="1"/>
    <xf numFmtId="0" fontId="0" fillId="8" borderId="7" xfId="0" applyFill="1" applyBorder="1"/>
    <xf numFmtId="0" fontId="0" fillId="8" borderId="9" xfId="0" applyFill="1" applyBorder="1"/>
    <xf numFmtId="164" fontId="0" fillId="8" borderId="9" xfId="0" applyNumberFormat="1" applyFill="1" applyBorder="1"/>
    <xf numFmtId="0" fontId="0" fillId="8" borderId="10" xfId="0" applyFill="1" applyBorder="1"/>
    <xf numFmtId="0" fontId="0" fillId="8" borderId="6" xfId="0" applyFill="1" applyBorder="1"/>
    <xf numFmtId="0" fontId="0" fillId="8" borderId="8" xfId="0" applyFill="1" applyBorder="1"/>
    <xf numFmtId="0" fontId="0" fillId="6" borderId="23" xfId="0" applyFill="1" applyBorder="1"/>
    <xf numFmtId="0" fontId="0" fillId="6" borderId="24" xfId="0" applyFill="1" applyBorder="1"/>
    <xf numFmtId="0" fontId="0" fillId="6" borderId="25" xfId="0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5" xfId="0" applyFill="1" applyBorder="1"/>
    <xf numFmtId="0" fontId="0" fillId="7" borderId="31" xfId="0" applyFill="1" applyBorder="1"/>
  </cellXfs>
  <cellStyles count="1">
    <cellStyle name="Normalny" xfId="0" builtinId="0"/>
  </cellStyles>
  <dxfs count="9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1 / ((1 - x ^ 2) ^ (1 / 2))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Arkusz1!$K$10</c:f>
              <c:strCache>
                <c:ptCount val="1"/>
                <c:pt idx="0">
                  <c:v>rzędu 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Arkusz1!$J$11:$J$16</c:f>
              <c:numCache>
                <c:formatCode>General</c:formatCode>
                <c:ptCount val="6"/>
                <c:pt idx="0">
                  <c:v>420</c:v>
                </c:pt>
                <c:pt idx="1">
                  <c:v>840</c:v>
                </c:pt>
                <c:pt idx="2">
                  <c:v>1260</c:v>
                </c:pt>
                <c:pt idx="3">
                  <c:v>1680</c:v>
                </c:pt>
                <c:pt idx="4">
                  <c:v>2100</c:v>
                </c:pt>
                <c:pt idx="5">
                  <c:v>2520</c:v>
                </c:pt>
              </c:numCache>
            </c:numRef>
          </c:cat>
          <c:val>
            <c:numRef>
              <c:f>Arkusz1!$K$11:$K$16</c:f>
              <c:numCache>
                <c:formatCode>General</c:formatCode>
                <c:ptCount val="6"/>
                <c:pt idx="0">
                  <c:v>6.6520127789826855E-2</c:v>
                </c:pt>
                <c:pt idx="1">
                  <c:v>4.7035461224036013E-2</c:v>
                </c:pt>
                <c:pt idx="2">
                  <c:v>3.8403931780613743E-2</c:v>
                </c:pt>
                <c:pt idx="3">
                  <c:v>3.3258625932054642E-2</c:v>
                </c:pt>
                <c:pt idx="4">
                  <c:v>2.9747336957168358E-2</c:v>
                </c:pt>
                <c:pt idx="5">
                  <c:v>2.7155429184353874E-2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2B-4E63-B01E-C477162BA8B7}"/>
            </c:ext>
          </c:extLst>
        </c:ser>
        <c:ser>
          <c:idx val="1"/>
          <c:order val="1"/>
          <c:tx>
            <c:strRef>
              <c:f>Arkusz1!$L$10</c:f>
              <c:strCache>
                <c:ptCount val="1"/>
                <c:pt idx="0">
                  <c:v>rzędu 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Arkusz1!$J$11:$J$16</c:f>
              <c:numCache>
                <c:formatCode>General</c:formatCode>
                <c:ptCount val="6"/>
                <c:pt idx="0">
                  <c:v>420</c:v>
                </c:pt>
                <c:pt idx="1">
                  <c:v>840</c:v>
                </c:pt>
                <c:pt idx="2">
                  <c:v>1260</c:v>
                </c:pt>
                <c:pt idx="3">
                  <c:v>1680</c:v>
                </c:pt>
                <c:pt idx="4">
                  <c:v>2100</c:v>
                </c:pt>
                <c:pt idx="5">
                  <c:v>2520</c:v>
                </c:pt>
              </c:numCache>
            </c:numRef>
          </c:cat>
          <c:val>
            <c:numRef>
              <c:f>Arkusz1!$L$11:$L$16</c:f>
              <c:numCache>
                <c:formatCode>General</c:formatCode>
                <c:ptCount val="6"/>
                <c:pt idx="0">
                  <c:v>6.2164112789133696E-2</c:v>
                </c:pt>
                <c:pt idx="1">
                  <c:v>4.3958414988192196E-2</c:v>
                </c:pt>
                <c:pt idx="2">
                  <c:v>3.5892371923836652E-2</c:v>
                </c:pt>
                <c:pt idx="3">
                  <c:v>3.108391221464224E-2</c:v>
                </c:pt>
                <c:pt idx="4">
                  <c:v>2.780240702719583E-2</c:v>
                </c:pt>
                <c:pt idx="5">
                  <c:v>2.5380076535375107E-2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2B-4E63-B01E-C477162BA8B7}"/>
            </c:ext>
          </c:extLst>
        </c:ser>
        <c:ser>
          <c:idx val="3"/>
          <c:order val="3"/>
          <c:tx>
            <c:strRef>
              <c:f>Arkusz1!$N$10</c:f>
              <c:strCache>
                <c:ptCount val="1"/>
                <c:pt idx="0">
                  <c:v>rzędu 6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Arkusz1!$J$11:$J$16</c:f>
              <c:numCache>
                <c:formatCode>General</c:formatCode>
                <c:ptCount val="6"/>
                <c:pt idx="0">
                  <c:v>420</c:v>
                </c:pt>
                <c:pt idx="1">
                  <c:v>840</c:v>
                </c:pt>
                <c:pt idx="2">
                  <c:v>1260</c:v>
                </c:pt>
                <c:pt idx="3">
                  <c:v>1680</c:v>
                </c:pt>
                <c:pt idx="4">
                  <c:v>2100</c:v>
                </c:pt>
                <c:pt idx="5">
                  <c:v>2520</c:v>
                </c:pt>
              </c:numCache>
            </c:numRef>
          </c:cat>
          <c:val>
            <c:numRef>
              <c:f>Arkusz1!$N$11:$N$16</c:f>
              <c:numCache>
                <c:formatCode>General</c:formatCode>
                <c:ptCount val="6"/>
                <c:pt idx="0">
                  <c:v>6.1436361055344779E-2</c:v>
                </c:pt>
                <c:pt idx="1">
                  <c:v>4.3443670173785254E-2</c:v>
                </c:pt>
                <c:pt idx="2">
                  <c:v>3.5472044574595518E-2</c:v>
                </c:pt>
                <c:pt idx="3">
                  <c:v>3.0719880735654126E-2</c:v>
                </c:pt>
                <c:pt idx="4">
                  <c:v>2.7476798078094333E-2</c:v>
                </c:pt>
                <c:pt idx="5">
                  <c:v>2.5082831933108007E-2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2B-4E63-B01E-C477162BA8B7}"/>
            </c:ext>
          </c:extLst>
        </c:ser>
        <c:ser>
          <c:idx val="5"/>
          <c:order val="5"/>
          <c:tx>
            <c:strRef>
              <c:f>Arkusz1!$P$10</c:f>
              <c:strCache>
                <c:ptCount val="1"/>
                <c:pt idx="0">
                  <c:v>rzędu 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Arkusz1!$J$11:$J$16</c:f>
              <c:numCache>
                <c:formatCode>General</c:formatCode>
                <c:ptCount val="6"/>
                <c:pt idx="0">
                  <c:v>420</c:v>
                </c:pt>
                <c:pt idx="1">
                  <c:v>840</c:v>
                </c:pt>
                <c:pt idx="2">
                  <c:v>1260</c:v>
                </c:pt>
                <c:pt idx="3">
                  <c:v>1680</c:v>
                </c:pt>
                <c:pt idx="4">
                  <c:v>2100</c:v>
                </c:pt>
                <c:pt idx="5">
                  <c:v>2520</c:v>
                </c:pt>
              </c:numCache>
            </c:numRef>
          </c:cat>
          <c:val>
            <c:numRef>
              <c:f>Arkusz1!$P$11:$P$16</c:f>
              <c:numCache>
                <c:formatCode>General</c:formatCode>
                <c:ptCount val="6"/>
                <c:pt idx="0">
                  <c:v>6.0242378604280944E-2</c:v>
                </c:pt>
                <c:pt idx="1">
                  <c:v>4.2599259334899386E-2</c:v>
                </c:pt>
                <c:pt idx="2">
                  <c:v>3.4782548476932185E-2</c:v>
                </c:pt>
                <c:pt idx="3">
                  <c:v>3.0122743339087155E-2</c:v>
                </c:pt>
                <c:pt idx="4">
                  <c:v>2.6942693425686226E-2</c:v>
                </c:pt>
                <c:pt idx="5">
                  <c:v>2.4595258010205345E-2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F2B-4E63-B01E-C477162BA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1180792"/>
        <c:axId val="94118115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Arkusz1!$M$10</c15:sqref>
                        </c15:formulaRef>
                      </c:ext>
                    </c:extLst>
                    <c:strCache>
                      <c:ptCount val="1"/>
                      <c:pt idx="0">
                        <c:v>rzędu 4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Arkusz1!$J$11:$J$16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420</c:v>
                      </c:pt>
                      <c:pt idx="1">
                        <c:v>840</c:v>
                      </c:pt>
                      <c:pt idx="2">
                        <c:v>1260</c:v>
                      </c:pt>
                      <c:pt idx="3">
                        <c:v>1680</c:v>
                      </c:pt>
                      <c:pt idx="4">
                        <c:v>2100</c:v>
                      </c:pt>
                      <c:pt idx="5">
                        <c:v>2520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Arkusz1!$M$11:$M$16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6.6903942063589295E-2</c:v>
                      </c:pt>
                      <c:pt idx="1">
                        <c:v>4.7310471781726537E-2</c:v>
                      </c:pt>
                      <c:pt idx="2">
                        <c:v>3.8629448744165185E-2</c:v>
                      </c:pt>
                      <c:pt idx="3">
                        <c:v>3.3454348286062974E-2</c:v>
                      </c:pt>
                      <c:pt idx="4">
                        <c:v>2.9922620645193909E-2</c:v>
                      </c:pt>
                      <c:pt idx="5">
                        <c:v>2.7315576865916125E-2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7F2B-4E63-B01E-C477162BA8B7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Arkusz1!$O$10</c15:sqref>
                        </c15:formulaRef>
                      </c:ext>
                    </c:extLst>
                    <c:strCache>
                      <c:ptCount val="1"/>
                      <c:pt idx="0">
                        <c:v>rzędu 6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Arkusz1!$J$11:$J$16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420</c:v>
                      </c:pt>
                      <c:pt idx="1">
                        <c:v>840</c:v>
                      </c:pt>
                      <c:pt idx="2">
                        <c:v>1260</c:v>
                      </c:pt>
                      <c:pt idx="3">
                        <c:v>1680</c:v>
                      </c:pt>
                      <c:pt idx="4">
                        <c:v>2100</c:v>
                      </c:pt>
                      <c:pt idx="5">
                        <c:v>2520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Arkusz1!$O$11:$O$16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6.3913186536297406E-2</c:v>
                      </c:pt>
                      <c:pt idx="1">
                        <c:v>4.5195275306472826E-2</c:v>
                      </c:pt>
                      <c:pt idx="2">
                        <c:v>3.6902285486124065E-2</c:v>
                      </c:pt>
                      <c:pt idx="3">
                        <c:v>3.1958532256432193E-2</c:v>
                      </c:pt>
                      <c:pt idx="4">
                        <c:v>2.8584695933782989E-2</c:v>
                      </c:pt>
                      <c:pt idx="5">
                        <c:v>2.6094208354637161E-2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F2B-4E63-B01E-C477162BA8B7}"/>
                  </c:ext>
                </c:extLst>
              </c15:ser>
            </c15:filteredLineSeries>
          </c:ext>
        </c:extLst>
      </c:lineChart>
      <c:catAx>
        <c:axId val="941180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Liczba ewaluacji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41181152"/>
        <c:crosses val="autoZero"/>
        <c:auto val="1"/>
        <c:lblAlgn val="ctr"/>
        <c:lblOffset val="100"/>
        <c:noMultiLvlLbl val="0"/>
      </c:catAx>
      <c:valAx>
        <c:axId val="941181152"/>
        <c:scaling>
          <c:logBase val="10"/>
          <c:orientation val="minMax"/>
          <c:min val="2.0000000000000004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Błąd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41180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Log(Sin(x))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Arkusz1!$AA$10</c:f>
              <c:strCache>
                <c:ptCount val="1"/>
                <c:pt idx="0">
                  <c:v>rzędu 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Arkusz1!$Z$11:$Z$16</c:f>
              <c:numCache>
                <c:formatCode>General</c:formatCode>
                <c:ptCount val="6"/>
                <c:pt idx="0">
                  <c:v>420</c:v>
                </c:pt>
                <c:pt idx="1">
                  <c:v>840</c:v>
                </c:pt>
                <c:pt idx="2">
                  <c:v>1260</c:v>
                </c:pt>
                <c:pt idx="3">
                  <c:v>1680</c:v>
                </c:pt>
                <c:pt idx="4">
                  <c:v>2100</c:v>
                </c:pt>
                <c:pt idx="5">
                  <c:v>2520</c:v>
                </c:pt>
              </c:numCache>
            </c:numRef>
          </c:cat>
          <c:val>
            <c:numRef>
              <c:f>Arkusz1!$AA$11:$AA$16</c:f>
              <c:numCache>
                <c:formatCode>General</c:formatCode>
                <c:ptCount val="6"/>
                <c:pt idx="0">
                  <c:v>4.9938793873067766E-3</c:v>
                </c:pt>
                <c:pt idx="1">
                  <c:v>2.4968466907675513E-3</c:v>
                </c:pt>
                <c:pt idx="2">
                  <c:v>1.664552978813294E-3</c:v>
                </c:pt>
                <c:pt idx="3">
                  <c:v>1.2484117201654321E-3</c:v>
                </c:pt>
                <c:pt idx="4">
                  <c:v>9.9872826012026295E-4</c:v>
                </c:pt>
                <c:pt idx="5">
                  <c:v>8.3227304491062526E-4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39-43F8-BFFD-4DFF013220CD}"/>
            </c:ext>
          </c:extLst>
        </c:ser>
        <c:ser>
          <c:idx val="1"/>
          <c:order val="1"/>
          <c:tx>
            <c:strRef>
              <c:f>Arkusz1!$AB$10</c:f>
              <c:strCache>
                <c:ptCount val="1"/>
                <c:pt idx="0">
                  <c:v>rzędu 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Arkusz1!$Z$11:$Z$16</c:f>
              <c:numCache>
                <c:formatCode>General</c:formatCode>
                <c:ptCount val="6"/>
                <c:pt idx="0">
                  <c:v>420</c:v>
                </c:pt>
                <c:pt idx="1">
                  <c:v>840</c:v>
                </c:pt>
                <c:pt idx="2">
                  <c:v>1260</c:v>
                </c:pt>
                <c:pt idx="3">
                  <c:v>1680</c:v>
                </c:pt>
                <c:pt idx="4">
                  <c:v>2100</c:v>
                </c:pt>
                <c:pt idx="5">
                  <c:v>2520</c:v>
                </c:pt>
              </c:numCache>
            </c:numRef>
          </c:cat>
          <c:val>
            <c:numRef>
              <c:f>Arkusz1!$AB$11:$AB$16</c:f>
              <c:numCache>
                <c:formatCode>General</c:formatCode>
                <c:ptCount val="6"/>
                <c:pt idx="0">
                  <c:v>5.1398608307420268E-3</c:v>
                </c:pt>
                <c:pt idx="1">
                  <c:v>2.5699304149089386E-3</c:v>
                </c:pt>
                <c:pt idx="2">
                  <c:v>1.7132869432572306E-3</c:v>
                </c:pt>
                <c:pt idx="3">
                  <c:v>1.284965207442923E-3</c:v>
                </c:pt>
                <c:pt idx="4">
                  <c:v>1.0279721659558483E-3</c:v>
                </c:pt>
                <c:pt idx="5">
                  <c:v>8.5664347163127985E-4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39-43F8-BFFD-4DFF013220CD}"/>
            </c:ext>
          </c:extLst>
        </c:ser>
        <c:ser>
          <c:idx val="3"/>
          <c:order val="3"/>
          <c:tx>
            <c:strRef>
              <c:f>Arkusz1!$AD$10</c:f>
              <c:strCache>
                <c:ptCount val="1"/>
                <c:pt idx="0">
                  <c:v>rzędu 6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Arkusz1!$Z$11:$Z$16</c:f>
              <c:numCache>
                <c:formatCode>General</c:formatCode>
                <c:ptCount val="6"/>
                <c:pt idx="0">
                  <c:v>420</c:v>
                </c:pt>
                <c:pt idx="1">
                  <c:v>840</c:v>
                </c:pt>
                <c:pt idx="2">
                  <c:v>1260</c:v>
                </c:pt>
                <c:pt idx="3">
                  <c:v>1680</c:v>
                </c:pt>
                <c:pt idx="4">
                  <c:v>2100</c:v>
                </c:pt>
                <c:pt idx="5">
                  <c:v>2520</c:v>
                </c:pt>
              </c:numCache>
            </c:numRef>
          </c:cat>
          <c:val>
            <c:numRef>
              <c:f>Arkusz1!$AD$11:$AD$16</c:f>
              <c:numCache>
                <c:formatCode>General</c:formatCode>
                <c:ptCount val="6"/>
                <c:pt idx="0">
                  <c:v>4.9376482891880791E-3</c:v>
                </c:pt>
                <c:pt idx="1">
                  <c:v>2.4688241445955939E-3</c:v>
                </c:pt>
                <c:pt idx="2">
                  <c:v>1.6458827630638773E-3</c:v>
                </c:pt>
                <c:pt idx="3">
                  <c:v>1.234412072298241E-3</c:v>
                </c:pt>
                <c:pt idx="4">
                  <c:v>9.8752965783743818E-4</c:v>
                </c:pt>
                <c:pt idx="5">
                  <c:v>8.2294138153216068E-4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139-43F8-BFFD-4DFF013220CD}"/>
            </c:ext>
          </c:extLst>
        </c:ser>
        <c:ser>
          <c:idx val="5"/>
          <c:order val="5"/>
          <c:tx>
            <c:strRef>
              <c:f>Arkusz1!$AF$10</c:f>
              <c:strCache>
                <c:ptCount val="1"/>
                <c:pt idx="0">
                  <c:v>rzędu 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Arkusz1!$Z$11:$Z$16</c:f>
              <c:numCache>
                <c:formatCode>General</c:formatCode>
                <c:ptCount val="6"/>
                <c:pt idx="0">
                  <c:v>420</c:v>
                </c:pt>
                <c:pt idx="1">
                  <c:v>840</c:v>
                </c:pt>
                <c:pt idx="2">
                  <c:v>1260</c:v>
                </c:pt>
                <c:pt idx="3">
                  <c:v>1680</c:v>
                </c:pt>
                <c:pt idx="4">
                  <c:v>2100</c:v>
                </c:pt>
                <c:pt idx="5">
                  <c:v>2520</c:v>
                </c:pt>
              </c:numCache>
            </c:numRef>
          </c:cat>
          <c:val>
            <c:numRef>
              <c:f>Arkusz1!$AF$11:$AF$16</c:f>
              <c:numCache>
                <c:formatCode>General</c:formatCode>
                <c:ptCount val="6"/>
                <c:pt idx="0">
                  <c:v>4.7013879048871665E-3</c:v>
                </c:pt>
                <c:pt idx="1">
                  <c:v>2.3506939524442494E-3</c:v>
                </c:pt>
                <c:pt idx="2">
                  <c:v>1.56712930163172E-3</c:v>
                </c:pt>
                <c:pt idx="3">
                  <c:v>1.1753469762205704E-3</c:v>
                </c:pt>
                <c:pt idx="4">
                  <c:v>9.4027758098080838E-4</c:v>
                </c:pt>
                <c:pt idx="5">
                  <c:v>7.8356465081608206E-4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139-43F8-BFFD-4DFF01322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50560"/>
        <c:axId val="36355092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Arkusz1!$AC$10</c15:sqref>
                        </c15:formulaRef>
                      </c:ext>
                    </c:extLst>
                    <c:strCache>
                      <c:ptCount val="1"/>
                      <c:pt idx="0">
                        <c:v>rzędu 4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Arkusz1!$Z$11:$Z$16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420</c:v>
                      </c:pt>
                      <c:pt idx="1">
                        <c:v>840</c:v>
                      </c:pt>
                      <c:pt idx="2">
                        <c:v>1260</c:v>
                      </c:pt>
                      <c:pt idx="3">
                        <c:v>1680</c:v>
                      </c:pt>
                      <c:pt idx="4">
                        <c:v>2100</c:v>
                      </c:pt>
                      <c:pt idx="5">
                        <c:v>2520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Arkusz1!$AC$11:$AC$16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6.0053553526624448E-3</c:v>
                      </c:pt>
                      <c:pt idx="1">
                        <c:v>3.0026776752367645E-3</c:v>
                      </c:pt>
                      <c:pt idx="2">
                        <c:v>2.0017851167866141E-3</c:v>
                      </c:pt>
                      <c:pt idx="3">
                        <c:v>1.5013388375826331E-3</c:v>
                      </c:pt>
                      <c:pt idx="4">
                        <c:v>1.2010710700631755E-3</c:v>
                      </c:pt>
                      <c:pt idx="5">
                        <c:v>1.0008925583919748E-3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1139-43F8-BFFD-4DFF013220CD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Arkusz1!$AE$10</c15:sqref>
                        </c15:formulaRef>
                      </c:ext>
                    </c:extLst>
                    <c:strCache>
                      <c:ptCount val="1"/>
                      <c:pt idx="0">
                        <c:v>rzędu 6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Arkusz1!$Z$11:$Z$16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420</c:v>
                      </c:pt>
                      <c:pt idx="1">
                        <c:v>840</c:v>
                      </c:pt>
                      <c:pt idx="2">
                        <c:v>1260</c:v>
                      </c:pt>
                      <c:pt idx="3">
                        <c:v>1680</c:v>
                      </c:pt>
                      <c:pt idx="4">
                        <c:v>2100</c:v>
                      </c:pt>
                      <c:pt idx="5">
                        <c:v>2520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Arkusz1!$AE$11:$AE$16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5.3665947949070869E-3</c:v>
                      </c:pt>
                      <c:pt idx="1">
                        <c:v>2.6832973974530994E-3</c:v>
                      </c:pt>
                      <c:pt idx="2">
                        <c:v>1.7888649316364358E-3</c:v>
                      </c:pt>
                      <c:pt idx="3">
                        <c:v>1.3416486987272158E-3</c:v>
                      </c:pt>
                      <c:pt idx="4">
                        <c:v>1.0733189589853254E-3</c:v>
                      </c:pt>
                      <c:pt idx="5">
                        <c:v>8.944324658157754E-4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139-43F8-BFFD-4DFF013220CD}"/>
                  </c:ext>
                </c:extLst>
              </c15:ser>
            </c15:filteredLineSeries>
          </c:ext>
        </c:extLst>
      </c:lineChart>
      <c:catAx>
        <c:axId val="363550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Liczba ewaluacji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63550920"/>
        <c:crosses val="autoZero"/>
        <c:auto val="1"/>
        <c:lblAlgn val="ctr"/>
        <c:lblOffset val="100"/>
        <c:noMultiLvlLbl val="0"/>
      </c:catAx>
      <c:valAx>
        <c:axId val="36355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Błąd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6355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(Tan(x)) ^ (1 / 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Arkusz1!$S$10</c:f>
              <c:strCache>
                <c:ptCount val="1"/>
                <c:pt idx="0">
                  <c:v>rzędu 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Arkusz1!$R$11:$R$16</c:f>
              <c:numCache>
                <c:formatCode>General</c:formatCode>
                <c:ptCount val="6"/>
                <c:pt idx="0">
                  <c:v>420</c:v>
                </c:pt>
                <c:pt idx="1">
                  <c:v>840</c:v>
                </c:pt>
                <c:pt idx="2">
                  <c:v>1260</c:v>
                </c:pt>
                <c:pt idx="3">
                  <c:v>1680</c:v>
                </c:pt>
                <c:pt idx="4">
                  <c:v>2100</c:v>
                </c:pt>
                <c:pt idx="5">
                  <c:v>2520</c:v>
                </c:pt>
              </c:numCache>
            </c:numRef>
          </c:cat>
          <c:val>
            <c:numRef>
              <c:f>Arkusz1!$S$11:$S$16</c:f>
              <c:numCache>
                <c:formatCode>General</c:formatCode>
                <c:ptCount val="6"/>
                <c:pt idx="0">
                  <c:v>4.1689901504881277E-2</c:v>
                </c:pt>
                <c:pt idx="1">
                  <c:v>2.9476770794078622E-2</c:v>
                </c:pt>
                <c:pt idx="2">
                  <c:v>2.4067010210761186E-2</c:v>
                </c:pt>
                <c:pt idx="3">
                  <c:v>2.0842349794640835E-2</c:v>
                </c:pt>
                <c:pt idx="4">
                  <c:v>1.8641807066528848E-2</c:v>
                </c:pt>
                <c:pt idx="5">
                  <c:v>1.7017467857501689E-2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D3-40A3-8E61-0DC612772113}"/>
            </c:ext>
          </c:extLst>
        </c:ser>
        <c:ser>
          <c:idx val="1"/>
          <c:order val="1"/>
          <c:tx>
            <c:strRef>
              <c:f>Arkusz1!$T$10</c:f>
              <c:strCache>
                <c:ptCount val="1"/>
                <c:pt idx="0">
                  <c:v>rzędu 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Arkusz1!$R$11:$R$16</c:f>
              <c:numCache>
                <c:formatCode>General</c:formatCode>
                <c:ptCount val="6"/>
                <c:pt idx="0">
                  <c:v>420</c:v>
                </c:pt>
                <c:pt idx="1">
                  <c:v>840</c:v>
                </c:pt>
                <c:pt idx="2">
                  <c:v>1260</c:v>
                </c:pt>
                <c:pt idx="3">
                  <c:v>1680</c:v>
                </c:pt>
                <c:pt idx="4">
                  <c:v>2100</c:v>
                </c:pt>
                <c:pt idx="5">
                  <c:v>2520</c:v>
                </c:pt>
              </c:numCache>
            </c:numRef>
          </c:cat>
          <c:val>
            <c:numRef>
              <c:f>Arkusz1!$T$11:$T$16</c:f>
              <c:numCache>
                <c:formatCode>General</c:formatCode>
                <c:ptCount val="6"/>
                <c:pt idx="0">
                  <c:v>3.8948925712870341E-2</c:v>
                </c:pt>
                <c:pt idx="1">
                  <c:v>2.7544499629756025E-2</c:v>
                </c:pt>
                <c:pt idx="2">
                  <c:v>2.2490928581211378E-2</c:v>
                </c:pt>
                <c:pt idx="3">
                  <c:v>1.9478121990573971E-2</c:v>
                </c:pt>
                <c:pt idx="4">
                  <c:v>1.7421980071294474E-2</c:v>
                </c:pt>
                <c:pt idx="5">
                  <c:v>1.5904151883942674E-2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D3-40A3-8E61-0DC612772113}"/>
            </c:ext>
          </c:extLst>
        </c:ser>
        <c:ser>
          <c:idx val="3"/>
          <c:order val="3"/>
          <c:tx>
            <c:strRef>
              <c:f>Arkusz1!$V$10</c:f>
              <c:strCache>
                <c:ptCount val="1"/>
                <c:pt idx="0">
                  <c:v>rzędu 6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Arkusz1!$R$11:$R$16</c:f>
              <c:numCache>
                <c:formatCode>General</c:formatCode>
                <c:ptCount val="6"/>
                <c:pt idx="0">
                  <c:v>420</c:v>
                </c:pt>
                <c:pt idx="1">
                  <c:v>840</c:v>
                </c:pt>
                <c:pt idx="2">
                  <c:v>1260</c:v>
                </c:pt>
                <c:pt idx="3">
                  <c:v>1680</c:v>
                </c:pt>
                <c:pt idx="4">
                  <c:v>2100</c:v>
                </c:pt>
                <c:pt idx="5">
                  <c:v>2520</c:v>
                </c:pt>
              </c:numCache>
            </c:numRef>
          </c:cat>
          <c:val>
            <c:numRef>
              <c:f>Arkusz1!$V$11:$V$16</c:f>
              <c:numCache>
                <c:formatCode>General</c:formatCode>
                <c:ptCount val="6"/>
                <c:pt idx="0">
                  <c:v>3.8493434679498062E-2</c:v>
                </c:pt>
                <c:pt idx="1">
                  <c:v>2.7222128829980985E-2</c:v>
                </c:pt>
                <c:pt idx="2">
                  <c:v>2.2227635038414295E-2</c:v>
                </c:pt>
                <c:pt idx="3">
                  <c:v>1.9250068941532472E-2</c:v>
                </c:pt>
                <c:pt idx="4">
                  <c:v>1.7217984897103467E-2</c:v>
                </c:pt>
                <c:pt idx="5">
                  <c:v>1.5717919467541641E-2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D3-40A3-8E61-0DC612772113}"/>
            </c:ext>
          </c:extLst>
        </c:ser>
        <c:ser>
          <c:idx val="5"/>
          <c:order val="5"/>
          <c:tx>
            <c:strRef>
              <c:f>Arkusz1!$X$10</c:f>
              <c:strCache>
                <c:ptCount val="1"/>
                <c:pt idx="0">
                  <c:v>rzędu 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Arkusz1!$R$11:$R$16</c:f>
              <c:numCache>
                <c:formatCode>General</c:formatCode>
                <c:ptCount val="6"/>
                <c:pt idx="0">
                  <c:v>420</c:v>
                </c:pt>
                <c:pt idx="1">
                  <c:v>840</c:v>
                </c:pt>
                <c:pt idx="2">
                  <c:v>1260</c:v>
                </c:pt>
                <c:pt idx="3">
                  <c:v>1680</c:v>
                </c:pt>
                <c:pt idx="4">
                  <c:v>2100</c:v>
                </c:pt>
                <c:pt idx="5">
                  <c:v>2520</c:v>
                </c:pt>
              </c:numCache>
            </c:numRef>
          </c:cat>
          <c:val>
            <c:numRef>
              <c:f>Arkusz1!$X$11:$X$16</c:f>
              <c:numCache>
                <c:formatCode>General</c:formatCode>
                <c:ptCount val="6"/>
                <c:pt idx="0">
                  <c:v>3.774574230187433E-2</c:v>
                </c:pt>
                <c:pt idx="1">
                  <c:v>2.6693158322913302E-2</c:v>
                </c:pt>
                <c:pt idx="2">
                  <c:v>2.1795658387043559E-2</c:v>
                </c:pt>
                <c:pt idx="3">
                  <c:v>1.8875934131889593E-2</c:v>
                </c:pt>
                <c:pt idx="4">
                  <c:v>1.6883331348770181E-2</c:v>
                </c:pt>
                <c:pt idx="5">
                  <c:v>1.5412413503984812E-2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D3-40A3-8E61-0DC612772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092448"/>
        <c:axId val="72009820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Arkusz1!$U$10</c15:sqref>
                        </c15:formulaRef>
                      </c:ext>
                    </c:extLst>
                    <c:strCache>
                      <c:ptCount val="1"/>
                      <c:pt idx="0">
                        <c:v>rzędu 4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Arkusz1!$R$11:$R$16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420</c:v>
                      </c:pt>
                      <c:pt idx="1">
                        <c:v>840</c:v>
                      </c:pt>
                      <c:pt idx="2">
                        <c:v>1260</c:v>
                      </c:pt>
                      <c:pt idx="3">
                        <c:v>1680</c:v>
                      </c:pt>
                      <c:pt idx="4">
                        <c:v>2100</c:v>
                      </c:pt>
                      <c:pt idx="5">
                        <c:v>2520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Arkusz1!$U$11:$U$16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4.1917298916724022E-2</c:v>
                      </c:pt>
                      <c:pt idx="1">
                        <c:v>2.9644427685286079E-2</c:v>
                      </c:pt>
                      <c:pt idx="2">
                        <c:v>2.4205776871568219E-2</c:v>
                      </c:pt>
                      <c:pt idx="3">
                        <c:v>2.0963338561243994E-2</c:v>
                      </c:pt>
                      <c:pt idx="4">
                        <c:v>1.8750459537746789E-2</c:v>
                      </c:pt>
                      <c:pt idx="5">
                        <c:v>1.7116919522128349E-2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98D3-40A3-8E61-0DC612772113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Arkusz1!$W$10</c15:sqref>
                        </c15:formulaRef>
                      </c:ext>
                    </c:extLst>
                    <c:strCache>
                      <c:ptCount val="1"/>
                      <c:pt idx="0">
                        <c:v>rzędu 6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Arkusz1!$R$11:$R$16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420</c:v>
                      </c:pt>
                      <c:pt idx="1">
                        <c:v>840</c:v>
                      </c:pt>
                      <c:pt idx="2">
                        <c:v>1260</c:v>
                      </c:pt>
                      <c:pt idx="3">
                        <c:v>1680</c:v>
                      </c:pt>
                      <c:pt idx="4">
                        <c:v>2100</c:v>
                      </c:pt>
                      <c:pt idx="5">
                        <c:v>2520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Arkusz1!$W$11:$W$16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4.004469744166661E-2</c:v>
                      </c:pt>
                      <c:pt idx="1">
                        <c:v>2.8319481644780264E-2</c:v>
                      </c:pt>
                      <c:pt idx="2">
                        <c:v>2.3123740765912171E-2</c:v>
                      </c:pt>
                      <c:pt idx="3">
                        <c:v>2.0026171612937294E-2</c:v>
                      </c:pt>
                      <c:pt idx="4">
                        <c:v>1.7912180319730187E-2</c:v>
                      </c:pt>
                      <c:pt idx="5">
                        <c:v>1.6351647382466084E-2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8D3-40A3-8E61-0DC612772113}"/>
                  </c:ext>
                </c:extLst>
              </c15:ser>
            </c15:filteredLineSeries>
          </c:ext>
        </c:extLst>
      </c:lineChart>
      <c:catAx>
        <c:axId val="720092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Liczba ewaluacji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20098208"/>
        <c:crosses val="autoZero"/>
        <c:auto val="1"/>
        <c:lblAlgn val="ctr"/>
        <c:lblOffset val="100"/>
        <c:noMultiLvlLbl val="0"/>
      </c:catAx>
      <c:valAx>
        <c:axId val="720098208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Błąd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2009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Log(x)/(1 - 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Arkusz1!$C$10</c:f>
              <c:strCache>
                <c:ptCount val="1"/>
                <c:pt idx="0">
                  <c:v>rzędu 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Arkusz1!$B$11:$B$16</c:f>
              <c:numCache>
                <c:formatCode>General</c:formatCode>
                <c:ptCount val="6"/>
                <c:pt idx="0">
                  <c:v>420</c:v>
                </c:pt>
                <c:pt idx="1">
                  <c:v>840</c:v>
                </c:pt>
                <c:pt idx="2">
                  <c:v>1260</c:v>
                </c:pt>
                <c:pt idx="3">
                  <c:v>1680</c:v>
                </c:pt>
                <c:pt idx="4">
                  <c:v>2100</c:v>
                </c:pt>
                <c:pt idx="5">
                  <c:v>2520</c:v>
                </c:pt>
              </c:numCache>
            </c:numRef>
          </c:cat>
          <c:val>
            <c:numRef>
              <c:f>Arkusz1!$C$11:$C$16</c:f>
              <c:numCache>
                <c:formatCode>General</c:formatCode>
                <c:ptCount val="6"/>
                <c:pt idx="0">
                  <c:v>8.0246857610855038E-4</c:v>
                </c:pt>
                <c:pt idx="1">
                  <c:v>3.9962138298199612E-4</c:v>
                </c:pt>
                <c:pt idx="2">
                  <c:v>2.6599918087022445E-4</c:v>
                </c:pt>
                <c:pt idx="3">
                  <c:v>1.9933041060871126E-4</c:v>
                </c:pt>
                <c:pt idx="4">
                  <c:v>1.5937850280556276E-4</c:v>
                </c:pt>
                <c:pt idx="5">
                  <c:v>1.3276565363096182E-4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95-4775-86EC-D5604E8104FB}"/>
            </c:ext>
          </c:extLst>
        </c:ser>
        <c:ser>
          <c:idx val="1"/>
          <c:order val="1"/>
          <c:tx>
            <c:strRef>
              <c:f>Arkusz1!$D$10</c:f>
              <c:strCache>
                <c:ptCount val="1"/>
                <c:pt idx="0">
                  <c:v>rzędu 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Arkusz1!$B$11:$B$16</c:f>
              <c:numCache>
                <c:formatCode>General</c:formatCode>
                <c:ptCount val="6"/>
                <c:pt idx="0">
                  <c:v>420</c:v>
                </c:pt>
                <c:pt idx="1">
                  <c:v>840</c:v>
                </c:pt>
                <c:pt idx="2">
                  <c:v>1260</c:v>
                </c:pt>
                <c:pt idx="3">
                  <c:v>1680</c:v>
                </c:pt>
                <c:pt idx="4">
                  <c:v>2100</c:v>
                </c:pt>
                <c:pt idx="5">
                  <c:v>2520</c:v>
                </c:pt>
              </c:numCache>
            </c:numRef>
          </c:cat>
          <c:val>
            <c:numRef>
              <c:f>Arkusz1!$D$11:$D$16</c:f>
              <c:numCache>
                <c:formatCode>General</c:formatCode>
                <c:ptCount val="6"/>
                <c:pt idx="0">
                  <c:v>8.1757283473748998E-4</c:v>
                </c:pt>
                <c:pt idx="1">
                  <c:v>4.0890165465667927E-4</c:v>
                </c:pt>
                <c:pt idx="2">
                  <c:v>2.7262674655270658E-4</c:v>
                </c:pt>
                <c:pt idx="3">
                  <c:v>2.0447968113934678E-4</c:v>
                </c:pt>
                <c:pt idx="4">
                  <c:v>1.6358836435759194E-4</c:v>
                </c:pt>
                <c:pt idx="5">
                  <c:v>1.3632620376125004E-4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95-4775-86EC-D5604E8104FB}"/>
            </c:ext>
          </c:extLst>
        </c:ser>
        <c:ser>
          <c:idx val="3"/>
          <c:order val="3"/>
          <c:tx>
            <c:strRef>
              <c:f>Arkusz1!$F$10</c:f>
              <c:strCache>
                <c:ptCount val="1"/>
                <c:pt idx="0">
                  <c:v>rzędu 6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Arkusz1!$B$11:$B$16</c:f>
              <c:numCache>
                <c:formatCode>General</c:formatCode>
                <c:ptCount val="6"/>
                <c:pt idx="0">
                  <c:v>420</c:v>
                </c:pt>
                <c:pt idx="1">
                  <c:v>840</c:v>
                </c:pt>
                <c:pt idx="2">
                  <c:v>1260</c:v>
                </c:pt>
                <c:pt idx="3">
                  <c:v>1680</c:v>
                </c:pt>
                <c:pt idx="4">
                  <c:v>2100</c:v>
                </c:pt>
                <c:pt idx="5">
                  <c:v>2520</c:v>
                </c:pt>
              </c:numCache>
            </c:numRef>
          </c:cat>
          <c:val>
            <c:numRef>
              <c:f>Arkusz1!$F$11:$F$16</c:f>
              <c:numCache>
                <c:formatCode>General</c:formatCode>
                <c:ptCount val="6"/>
                <c:pt idx="0">
                  <c:v>7.8545608686209079E-4</c:v>
                </c:pt>
                <c:pt idx="1">
                  <c:v>3.9282671718110507E-4</c:v>
                </c:pt>
                <c:pt idx="2">
                  <c:v>2.6190643155588056E-4</c:v>
                </c:pt>
                <c:pt idx="3">
                  <c:v>1.9643805986291341E-4</c:v>
                </c:pt>
                <c:pt idx="4">
                  <c:v>1.5715440220143151E-4</c:v>
                </c:pt>
                <c:pt idx="5">
                  <c:v>1.3096419900193723E-4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95-4775-86EC-D5604E8104FB}"/>
            </c:ext>
          </c:extLst>
        </c:ser>
        <c:ser>
          <c:idx val="5"/>
          <c:order val="5"/>
          <c:tx>
            <c:strRef>
              <c:f>Arkusz1!$H$10</c:f>
              <c:strCache>
                <c:ptCount val="1"/>
                <c:pt idx="0">
                  <c:v>rzędu 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Arkusz1!$B$11:$B$16</c:f>
              <c:numCache>
                <c:formatCode>General</c:formatCode>
                <c:ptCount val="6"/>
                <c:pt idx="0">
                  <c:v>420</c:v>
                </c:pt>
                <c:pt idx="1">
                  <c:v>840</c:v>
                </c:pt>
                <c:pt idx="2">
                  <c:v>1260</c:v>
                </c:pt>
                <c:pt idx="3">
                  <c:v>1680</c:v>
                </c:pt>
                <c:pt idx="4">
                  <c:v>2100</c:v>
                </c:pt>
                <c:pt idx="5">
                  <c:v>2520</c:v>
                </c:pt>
              </c:numCache>
            </c:numRef>
          </c:cat>
          <c:val>
            <c:numRef>
              <c:f>Arkusz1!$H$11:$H$16</c:f>
              <c:numCache>
                <c:formatCode>General</c:formatCode>
                <c:ptCount val="6"/>
                <c:pt idx="0">
                  <c:v>7.4790721775808144E-4</c:v>
                </c:pt>
                <c:pt idx="1">
                  <c:v>3.7403902094745867E-4</c:v>
                </c:pt>
                <c:pt idx="2">
                  <c:v>2.4937834687932536E-4</c:v>
                </c:pt>
                <c:pt idx="3">
                  <c:v>1.8704088769894156E-4</c:v>
                </c:pt>
                <c:pt idx="4">
                  <c:v>1.4963613206764315E-4</c:v>
                </c:pt>
                <c:pt idx="5">
                  <c:v>1.2469867802544776E-4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395-4775-86EC-D5604E81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064808"/>
        <c:axId val="58406516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Arkusz1!$E$10</c15:sqref>
                        </c15:formulaRef>
                      </c:ext>
                    </c:extLst>
                    <c:strCache>
                      <c:ptCount val="1"/>
                      <c:pt idx="0">
                        <c:v>rzędu 4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Arkusz1!$B$11:$B$16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420</c:v>
                      </c:pt>
                      <c:pt idx="1">
                        <c:v>840</c:v>
                      </c:pt>
                      <c:pt idx="2">
                        <c:v>1260</c:v>
                      </c:pt>
                      <c:pt idx="3">
                        <c:v>1680</c:v>
                      </c:pt>
                      <c:pt idx="4">
                        <c:v>2100</c:v>
                      </c:pt>
                      <c:pt idx="5">
                        <c:v>2520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Arkusz1!$E$11:$E$16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9.5512559845745137E-4</c:v>
                      </c:pt>
                      <c:pt idx="1">
                        <c:v>4.777266717230777E-4</c:v>
                      </c:pt>
                      <c:pt idx="2">
                        <c:v>3.185209305991421E-4</c:v>
                      </c:pt>
                      <c:pt idx="3">
                        <c:v>2.389043883825881E-4</c:v>
                      </c:pt>
                      <c:pt idx="4">
                        <c:v>1.9113008451876468E-4</c:v>
                      </c:pt>
                      <c:pt idx="5">
                        <c:v>1.592787233890558E-4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395-4775-86EC-D5604E8104FB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Arkusz1!$G$10</c15:sqref>
                        </c15:formulaRef>
                      </c:ext>
                    </c:extLst>
                    <c:strCache>
                      <c:ptCount val="1"/>
                      <c:pt idx="0">
                        <c:v>rzędu 6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Arkusz1!$B$11:$B$16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420</c:v>
                      </c:pt>
                      <c:pt idx="1">
                        <c:v>840</c:v>
                      </c:pt>
                      <c:pt idx="2">
                        <c:v>1260</c:v>
                      </c:pt>
                      <c:pt idx="3">
                        <c:v>1680</c:v>
                      </c:pt>
                      <c:pt idx="4">
                        <c:v>2100</c:v>
                      </c:pt>
                      <c:pt idx="5">
                        <c:v>2520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Arkusz1!$G$11:$G$16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8.5364518400110612E-4</c:v>
                      </c:pt>
                      <c:pt idx="1">
                        <c:v>4.2694119961272925E-4</c:v>
                      </c:pt>
                      <c:pt idx="2">
                        <c:v>2.8465385876530469E-4</c:v>
                      </c:pt>
                      <c:pt idx="3">
                        <c:v>2.135002961618504E-4</c:v>
                      </c:pt>
                      <c:pt idx="4">
                        <c:v>1.7080499120236681E-4</c:v>
                      </c:pt>
                      <c:pt idx="5">
                        <c:v>1.4234013437208759E-4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395-4775-86EC-D5604E8104FB}"/>
                  </c:ext>
                </c:extLst>
              </c15:ser>
            </c15:filteredLineSeries>
          </c:ext>
        </c:extLst>
      </c:lineChart>
      <c:catAx>
        <c:axId val="584064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Liczba ewaluacji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84065168"/>
        <c:crosses val="autoZero"/>
        <c:auto val="1"/>
        <c:lblAlgn val="ctr"/>
        <c:lblOffset val="100"/>
        <c:noMultiLvlLbl val="0"/>
      </c:catAx>
      <c:valAx>
        <c:axId val="584065168"/>
        <c:scaling>
          <c:orientation val="minMax"/>
          <c:max val="1.0000000000000002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Błąd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84064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388620</xdr:colOff>
      <xdr:row>16</xdr:row>
      <xdr:rowOff>118110</xdr:rowOff>
    </xdr:from>
    <xdr:to>
      <xdr:col>15</xdr:col>
      <xdr:colOff>601980</xdr:colOff>
      <xdr:row>31</xdr:row>
      <xdr:rowOff>118110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E368BA86-F3BF-1B4D-E9C7-970CE5C549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822960</xdr:colOff>
      <xdr:row>16</xdr:row>
      <xdr:rowOff>102870</xdr:rowOff>
    </xdr:from>
    <xdr:to>
      <xdr:col>31</xdr:col>
      <xdr:colOff>556260</xdr:colOff>
      <xdr:row>31</xdr:row>
      <xdr:rowOff>102870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9F51A58A-C89E-E61A-A9F2-AF755FDB43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746760</xdr:colOff>
      <xdr:row>16</xdr:row>
      <xdr:rowOff>118110</xdr:rowOff>
    </xdr:from>
    <xdr:to>
      <xdr:col>23</xdr:col>
      <xdr:colOff>251460</xdr:colOff>
      <xdr:row>31</xdr:row>
      <xdr:rowOff>118110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8051769B-00C5-2E28-778E-2D44D47451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525780</xdr:colOff>
      <xdr:row>16</xdr:row>
      <xdr:rowOff>102870</xdr:rowOff>
    </xdr:from>
    <xdr:to>
      <xdr:col>6</xdr:col>
      <xdr:colOff>571500</xdr:colOff>
      <xdr:row>31</xdr:row>
      <xdr:rowOff>102870</xdr:rowOff>
    </xdr:to>
    <xdr:graphicFrame macro="">
      <xdr:nvGraphicFramePr>
        <xdr:cNvPr id="11" name="Wykres 10">
          <a:extLst>
            <a:ext uri="{FF2B5EF4-FFF2-40B4-BE49-F238E27FC236}">
              <a16:creationId xmlns:a16="http://schemas.microsoft.com/office/drawing/2014/main" id="{F9B79FF5-7905-0B06-C60D-3DCE71BA3B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97FBCE-08EC-44FA-95DB-2967BA2290C6}" name="Tabela1" displayName="Tabela1" ref="A2:E6" totalsRowShown="0" headerRowDxfId="8" headerRowBorderDxfId="7" tableBorderDxfId="6" totalsRowBorderDxfId="5">
  <autoFilter ref="A2:E6" xr:uid="{E197FBCE-08EC-44FA-95DB-2967BA2290C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55C2BBD9-4F4D-48BF-AA6D-C6705A44306E}" name=" " dataDxfId="4"/>
    <tableColumn id="2" xr3:uid="{CAA3CDBD-8E70-4ABD-8569-CE1CF91639E9}" name="Funkcja 1" dataDxfId="3"/>
    <tableColumn id="3" xr3:uid="{5D171C3A-970D-4261-A929-3AE3D5874FBE}" name="Funkcja 2" dataDxfId="2"/>
    <tableColumn id="4" xr3:uid="{14BFA2F5-1732-487A-B00E-E8223317E390}" name="Funkcja 3" dataDxfId="1"/>
    <tableColumn id="5" xr3:uid="{D66A58B7-5FEE-40D5-93F2-CBE0E152B569}" name="Funkcja 4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3C801-80CF-4794-860E-6C2D8381F2F7}">
  <sheetPr codeName="Arkusz1"/>
  <dimension ref="A1:AF16"/>
  <sheetViews>
    <sheetView tabSelected="1" zoomScaleNormal="100" workbookViewId="0">
      <selection activeCell="B11" sqref="B11"/>
    </sheetView>
  </sheetViews>
  <sheetFormatPr defaultRowHeight="15" x14ac:dyDescent="0.25"/>
  <cols>
    <col min="1" max="1" width="17" bestFit="1" customWidth="1"/>
    <col min="2" max="2" width="13.7109375" bestFit="1" customWidth="1"/>
    <col min="3" max="3" width="19.140625" bestFit="1" customWidth="1"/>
    <col min="4" max="4" width="13.85546875" bestFit="1" customWidth="1"/>
    <col min="5" max="5" width="10.42578125" customWidth="1"/>
    <col min="8" max="8" width="9.140625" bestFit="1" customWidth="1"/>
    <col min="9" max="9" width="11.28515625" bestFit="1" customWidth="1"/>
    <col min="10" max="10" width="19.140625" bestFit="1" customWidth="1"/>
    <col min="11" max="12" width="12" bestFit="1" customWidth="1"/>
    <col min="13" max="13" width="12.7109375" bestFit="1" customWidth="1"/>
    <col min="14" max="16" width="12" bestFit="1" customWidth="1"/>
    <col min="17" max="17" width="27.85546875" bestFit="1" customWidth="1"/>
    <col min="18" max="18" width="13.85546875" bestFit="1" customWidth="1"/>
    <col min="19" max="24" width="12" bestFit="1" customWidth="1"/>
    <col min="26" max="26" width="13.7109375" bestFit="1" customWidth="1"/>
    <col min="27" max="28" width="12" bestFit="1" customWidth="1"/>
    <col min="30" max="32" width="12" bestFit="1" customWidth="1"/>
  </cols>
  <sheetData>
    <row r="1" spans="1:32" ht="15.75" thickBot="1" x14ac:dyDescent="0.3"/>
    <row r="2" spans="1:32" ht="15.75" thickBot="1" x14ac:dyDescent="0.3">
      <c r="A2" s="26" t="s">
        <v>41</v>
      </c>
      <c r="B2" s="66" t="s">
        <v>0</v>
      </c>
      <c r="C2" s="67" t="s">
        <v>1</v>
      </c>
      <c r="D2" s="67" t="s">
        <v>2</v>
      </c>
      <c r="E2" s="68" t="s">
        <v>3</v>
      </c>
    </row>
    <row r="3" spans="1:32" ht="15.75" thickBot="1" x14ac:dyDescent="0.3">
      <c r="A3" s="57" t="s">
        <v>4</v>
      </c>
      <c r="B3" s="72" t="s">
        <v>5</v>
      </c>
      <c r="C3" s="14" t="s">
        <v>6</v>
      </c>
      <c r="D3" s="14" t="s">
        <v>7</v>
      </c>
      <c r="E3" s="15" t="s">
        <v>8</v>
      </c>
    </row>
    <row r="4" spans="1:32" x14ac:dyDescent="0.25">
      <c r="A4" s="58" t="s">
        <v>9</v>
      </c>
      <c r="B4" s="69">
        <v>0</v>
      </c>
      <c r="C4" s="70">
        <v>-1</v>
      </c>
      <c r="D4" s="70">
        <v>0</v>
      </c>
      <c r="E4" s="71">
        <v>0</v>
      </c>
    </row>
    <row r="5" spans="1:32" x14ac:dyDescent="0.25">
      <c r="A5" s="58" t="s">
        <v>10</v>
      </c>
      <c r="B5" s="64">
        <v>1</v>
      </c>
      <c r="C5" s="21">
        <v>1</v>
      </c>
      <c r="D5" s="21">
        <f>PI()/2</f>
        <v>1.5707963267948966</v>
      </c>
      <c r="E5" s="60">
        <f>PI()</f>
        <v>3.1415926535897931</v>
      </c>
    </row>
    <row r="6" spans="1:32" ht="15.75" thickBot="1" x14ac:dyDescent="0.3">
      <c r="A6" s="59" t="s">
        <v>11</v>
      </c>
      <c r="B6" s="65">
        <f>-(PI()^2)/6</f>
        <v>-1.6449340668482264</v>
      </c>
      <c r="C6" s="61">
        <f>PI()</f>
        <v>3.1415926535897931</v>
      </c>
      <c r="D6" s="62">
        <f>PI()/SQRT((2))</f>
        <v>2.2214414690791831</v>
      </c>
      <c r="E6" s="63">
        <f>-PI()*LN(2)</f>
        <v>-2.1775860903036022</v>
      </c>
    </row>
    <row r="7" spans="1:32" ht="15.75" thickBot="1" x14ac:dyDescent="0.3"/>
    <row r="8" spans="1:32" ht="15.75" thickBot="1" x14ac:dyDescent="0.3">
      <c r="B8" s="26" t="s">
        <v>5</v>
      </c>
      <c r="C8" s="27"/>
      <c r="D8" s="27"/>
      <c r="E8" s="27"/>
      <c r="F8" s="27"/>
      <c r="G8" s="27"/>
      <c r="H8" s="28"/>
      <c r="J8" s="26" t="s">
        <v>6</v>
      </c>
      <c r="K8" s="27"/>
      <c r="L8" s="27"/>
      <c r="M8" s="27"/>
      <c r="N8" s="27"/>
      <c r="O8" s="27"/>
      <c r="P8" s="28"/>
      <c r="R8" s="26" t="s">
        <v>7</v>
      </c>
      <c r="S8" s="27"/>
      <c r="T8" s="27"/>
      <c r="U8" s="27"/>
      <c r="V8" s="27"/>
      <c r="W8" s="27"/>
      <c r="X8" s="28"/>
      <c r="Z8" s="26" t="s">
        <v>8</v>
      </c>
      <c r="AA8" s="27"/>
      <c r="AB8" s="27"/>
      <c r="AC8" s="27"/>
      <c r="AD8" s="27"/>
      <c r="AE8" s="27"/>
      <c r="AF8" s="28"/>
    </row>
    <row r="9" spans="1:32" ht="15.75" thickBot="1" x14ac:dyDescent="0.3">
      <c r="B9" s="29" t="s">
        <v>12</v>
      </c>
      <c r="C9" s="16">
        <v>2</v>
      </c>
      <c r="D9" s="14">
        <v>3</v>
      </c>
      <c r="E9" s="14">
        <v>4</v>
      </c>
      <c r="F9" s="14">
        <v>5</v>
      </c>
      <c r="G9" s="14">
        <v>6</v>
      </c>
      <c r="H9" s="15">
        <v>7</v>
      </c>
      <c r="J9" s="29" t="s">
        <v>12</v>
      </c>
      <c r="K9" s="16">
        <v>2</v>
      </c>
      <c r="L9" s="14">
        <v>3</v>
      </c>
      <c r="M9" s="14">
        <v>4</v>
      </c>
      <c r="N9" s="14">
        <v>5</v>
      </c>
      <c r="O9" s="14">
        <v>6</v>
      </c>
      <c r="P9" s="15">
        <v>7</v>
      </c>
      <c r="R9" s="29" t="s">
        <v>12</v>
      </c>
      <c r="S9" s="16">
        <v>2</v>
      </c>
      <c r="T9" s="14">
        <v>3</v>
      </c>
      <c r="U9" s="14">
        <v>4</v>
      </c>
      <c r="V9" s="14">
        <v>5</v>
      </c>
      <c r="W9" s="14">
        <v>6</v>
      </c>
      <c r="X9" s="15">
        <v>7</v>
      </c>
      <c r="Z9" s="29" t="s">
        <v>12</v>
      </c>
      <c r="AA9" s="16">
        <v>2</v>
      </c>
      <c r="AB9" s="14">
        <v>3</v>
      </c>
      <c r="AC9" s="14">
        <v>4</v>
      </c>
      <c r="AD9" s="14">
        <v>5</v>
      </c>
      <c r="AE9" s="14">
        <v>6</v>
      </c>
      <c r="AF9" s="15">
        <v>7</v>
      </c>
    </row>
    <row r="10" spans="1:32" ht="15.75" thickBot="1" x14ac:dyDescent="0.3">
      <c r="B10" s="26" t="s">
        <v>13</v>
      </c>
      <c r="C10" s="16" t="s">
        <v>14</v>
      </c>
      <c r="D10" s="14" t="s">
        <v>15</v>
      </c>
      <c r="E10" s="14" t="s">
        <v>15</v>
      </c>
      <c r="F10" s="14" t="s">
        <v>16</v>
      </c>
      <c r="G10" s="14" t="s">
        <v>16</v>
      </c>
      <c r="H10" s="15" t="s">
        <v>17</v>
      </c>
      <c r="J10" s="26" t="s">
        <v>13</v>
      </c>
      <c r="K10" s="16" t="s">
        <v>14</v>
      </c>
      <c r="L10" s="14" t="s">
        <v>15</v>
      </c>
      <c r="M10" s="14" t="s">
        <v>15</v>
      </c>
      <c r="N10" s="14" t="s">
        <v>16</v>
      </c>
      <c r="O10" s="14" t="s">
        <v>16</v>
      </c>
      <c r="P10" s="15" t="s">
        <v>17</v>
      </c>
      <c r="R10" s="26" t="s">
        <v>13</v>
      </c>
      <c r="S10" s="16" t="s">
        <v>14</v>
      </c>
      <c r="T10" s="14" t="s">
        <v>15</v>
      </c>
      <c r="U10" s="14" t="s">
        <v>15</v>
      </c>
      <c r="V10" s="14" t="s">
        <v>16</v>
      </c>
      <c r="W10" s="14" t="s">
        <v>16</v>
      </c>
      <c r="X10" s="15" t="s">
        <v>17</v>
      </c>
      <c r="Z10" s="26" t="s">
        <v>13</v>
      </c>
      <c r="AA10" s="16" t="s">
        <v>14</v>
      </c>
      <c r="AB10" s="14" t="s">
        <v>15</v>
      </c>
      <c r="AC10" s="14" t="s">
        <v>15</v>
      </c>
      <c r="AD10" s="14" t="s">
        <v>16</v>
      </c>
      <c r="AE10" s="14" t="s">
        <v>16</v>
      </c>
      <c r="AF10" s="15" t="s">
        <v>17</v>
      </c>
    </row>
    <row r="11" spans="1:32" ht="15.75" thickBot="1" x14ac:dyDescent="0.3">
      <c r="B11" s="57">
        <v>420</v>
      </c>
      <c r="C11" s="17" cm="1">
        <f t="array" ref="C11">ABS(Oblicz($B$8, $B$4, $B$5, $B11, C$9) - $B$6)</f>
        <v>8.0246857610855038E-4</v>
      </c>
      <c r="D11" s="18" cm="1">
        <f t="array" ref="D11">ABS(Oblicz($B$8, $B$4, $B$5, $B11, D$9) - $B$6)</f>
        <v>8.1757283473748998E-4</v>
      </c>
      <c r="E11" s="18" cm="1">
        <f t="array" ref="E11">ABS(Oblicz($B$8, $B$4, $B$5, $B11, E$9) - $B$6)</f>
        <v>9.5512559845745137E-4</v>
      </c>
      <c r="F11" s="18" cm="1">
        <f t="array" ref="F11">ABS(Oblicz($B$8, $B$4, $B$5, $B11, F$9) - $B$6)</f>
        <v>7.8545608686209079E-4</v>
      </c>
      <c r="G11" s="18" cm="1">
        <f t="array" ref="G11">ABS(Oblicz($B$8, $B$4, $B$5, $B11, G$9) - $B$6)</f>
        <v>8.5364518400110612E-4</v>
      </c>
      <c r="H11" s="19" cm="1">
        <f t="array" ref="H11">ABS(Oblicz($B$8, $B$4, $B$5, $B11, H$9) - $B$6)</f>
        <v>7.4790721775808144E-4</v>
      </c>
      <c r="J11" s="57">
        <v>420</v>
      </c>
      <c r="K11" s="17" cm="1">
        <f t="array" ref="K11">ABS(Oblicz($J$8, $C$4, $C$5, $J11, K$9) - $C$6)</f>
        <v>6.6520127789826855E-2</v>
      </c>
      <c r="L11" s="17" cm="1">
        <f t="array" ref="L11">ABS(Oblicz($J$8, $C$4, $C$5, $J11, L$9) - $C$6)</f>
        <v>6.2164112789133696E-2</v>
      </c>
      <c r="M11" s="17" cm="1">
        <f t="array" ref="M11">ABS(Oblicz($J$8, $C$4, $C$5, $J11, M$9) - $C$6)</f>
        <v>6.6903942063589295E-2</v>
      </c>
      <c r="N11" s="17" cm="1">
        <f t="array" ref="N11">ABS(Oblicz($J$8, $C$4, $C$5, $J11, N$9) - $C$6)</f>
        <v>6.1436361055344779E-2</v>
      </c>
      <c r="O11" s="17" cm="1">
        <f t="array" ref="O11">ABS(Oblicz($J$8, $C$4, $C$5, $J11, O$9) - $C$6)</f>
        <v>6.3913186536297406E-2</v>
      </c>
      <c r="P11" s="17" cm="1">
        <f t="array" ref="P11">ABS(Oblicz($J$8, $C$4, $C$5, $J11, P$9) - $C$6)</f>
        <v>6.0242378604280944E-2</v>
      </c>
      <c r="R11" s="57">
        <v>420</v>
      </c>
      <c r="S11" s="17" cm="1">
        <f t="array" ref="S11">ABS(Oblicz($R$8, $D$4, $D$5, $R11, S$9) - $D$6)</f>
        <v>4.1689901504881277E-2</v>
      </c>
      <c r="T11" s="17" cm="1">
        <f t="array" ref="T11">ABS(Oblicz($R$8, $D$4, $D$5, $R11, T$9) - $D$6)</f>
        <v>3.8948925712870341E-2</v>
      </c>
      <c r="U11" s="17" cm="1">
        <f t="array" ref="U11">ABS(Oblicz($R$8, $D$4, $D$5, $R11, U$9) - $D$6)</f>
        <v>4.1917298916724022E-2</v>
      </c>
      <c r="V11" s="17" cm="1">
        <f t="array" ref="V11">ABS(Oblicz($R$8, $D$4, $D$5, $R11, V$9) - $D$6)</f>
        <v>3.8493434679498062E-2</v>
      </c>
      <c r="W11" s="17" cm="1">
        <f t="array" ref="W11">ABS(Oblicz($R$8, $D$4, $D$5, $R11, W$9) - $D$6)</f>
        <v>4.004469744166661E-2</v>
      </c>
      <c r="X11" s="17" cm="1">
        <f t="array" ref="X11">ABS(Oblicz($R$8, $D$4, $D$5, $R11, X$9) - $D$6)</f>
        <v>3.774574230187433E-2</v>
      </c>
      <c r="Z11" s="57">
        <v>420</v>
      </c>
      <c r="AA11" s="17" cm="1">
        <f t="array" ref="AA11">ABS(Oblicz($Z$8, $E$4, $E$5, $Z11, AA$9) - $E$6)</f>
        <v>4.9938793873067766E-3</v>
      </c>
      <c r="AB11" s="17" cm="1">
        <f t="array" ref="AB11">ABS(Oblicz($Z$8, $E$4, $E$5, $Z11, AB$9) - $E$6)</f>
        <v>5.1398608307420268E-3</v>
      </c>
      <c r="AC11" s="17" cm="1">
        <f t="array" ref="AC11">ABS(Oblicz($Z$8, $E$4, $E$5, $Z11, AC$9) - $E$6)</f>
        <v>6.0053553526624448E-3</v>
      </c>
      <c r="AD11" s="17" cm="1">
        <f t="array" ref="AD11">ABS(Oblicz($Z$8, $E$4, $E$5, $Z11, AD$9) - $E$6)</f>
        <v>4.9376482891880791E-3</v>
      </c>
      <c r="AE11" s="17" cm="1">
        <f t="array" ref="AE11">ABS(Oblicz($Z$8, $E$4, $E$5, $Z11, AE$9) - $E$6)</f>
        <v>5.3665947949070869E-3</v>
      </c>
      <c r="AF11" s="17" cm="1">
        <f t="array" ref="AF11">ABS(Oblicz($Z$8, $E$4, $E$5, $Z11, AF$9) - $E$6)</f>
        <v>4.7013879048871665E-3</v>
      </c>
    </row>
    <row r="12" spans="1:32" ht="15.75" thickBot="1" x14ac:dyDescent="0.3">
      <c r="B12" s="58">
        <v>840</v>
      </c>
      <c r="C12" s="20" cm="1">
        <f t="array" ref="C12">ABS(Oblicz($B$8, $B$4, $B$5, $B12, C$9) - $B$6)</f>
        <v>3.9962138298199612E-4</v>
      </c>
      <c r="D12" s="21" cm="1">
        <f t="array" ref="D12">ABS(Oblicz($B$8, $B$4, $B$5, $B12, D$9) - $B$6)</f>
        <v>4.0890165465667927E-4</v>
      </c>
      <c r="E12" s="21" cm="1">
        <f t="array" ref="E12">ABS(Oblicz($B$8, $B$4, $B$5, $B12, E$9) - $B$6)</f>
        <v>4.777266717230777E-4</v>
      </c>
      <c r="F12" s="21" cm="1">
        <f t="array" ref="F12">ABS(Oblicz($B$8, $B$4, $B$5, $B12, F$9) - $B$6)</f>
        <v>3.9282671718110507E-4</v>
      </c>
      <c r="G12" s="21" cm="1">
        <f t="array" ref="G12">ABS(Oblicz($B$8, $B$4, $B$5, $B12, G$9) - $B$6)</f>
        <v>4.2694119961272925E-4</v>
      </c>
      <c r="H12" s="22" cm="1">
        <f t="array" ref="H12">ABS(Oblicz($B$8, $B$4, $B$5, $B12, H$9) - $B$6)</f>
        <v>3.7403902094745867E-4</v>
      </c>
      <c r="J12" s="58">
        <v>840</v>
      </c>
      <c r="K12" s="17" cm="1">
        <f t="array" ref="K12">ABS(Oblicz($J$8, $C$4, $C$5, $J12, K$9) - $C$6)</f>
        <v>4.7035461224036013E-2</v>
      </c>
      <c r="L12" s="17" cm="1">
        <f t="array" ref="L12">ABS(Oblicz($J$8, $C$4, $C$5, $J12, L$9) - $C$6)</f>
        <v>4.3958414988192196E-2</v>
      </c>
      <c r="M12" s="17" cm="1">
        <f t="array" ref="M12">ABS(Oblicz($J$8, $C$4, $C$5, $J12, M$9) - $C$6)</f>
        <v>4.7310471781726537E-2</v>
      </c>
      <c r="N12" s="17" cm="1">
        <f t="array" ref="N12">ABS(Oblicz($J$8, $C$4, $C$5, $J12, N$9) - $C$6)</f>
        <v>4.3443670173785254E-2</v>
      </c>
      <c r="O12" s="17" cm="1">
        <f t="array" ref="O12">ABS(Oblicz($J$8, $C$4, $C$5, $J12, O$9) - $C$6)</f>
        <v>4.5195275306472826E-2</v>
      </c>
      <c r="P12" s="17" cm="1">
        <f t="array" ref="P12">ABS(Oblicz($J$8, $C$4, $C$5, $J12, P$9) - $C$6)</f>
        <v>4.2599259334899386E-2</v>
      </c>
      <c r="R12" s="58">
        <v>840</v>
      </c>
      <c r="S12" s="17" cm="1">
        <f t="array" ref="S12">ABS(Oblicz($R$8, $D$4, $D$5, $R12, S$9) - $D$6)</f>
        <v>2.9476770794078622E-2</v>
      </c>
      <c r="T12" s="17" cm="1">
        <f t="array" ref="T12">ABS(Oblicz($R$8, $D$4, $D$5, $R12, T$9) - $D$6)</f>
        <v>2.7544499629756025E-2</v>
      </c>
      <c r="U12" s="17" cm="1">
        <f t="array" ref="U12">ABS(Oblicz($R$8, $D$4, $D$5, $R12, U$9) - $D$6)</f>
        <v>2.9644427685286079E-2</v>
      </c>
      <c r="V12" s="17" cm="1">
        <f t="array" ref="V12">ABS(Oblicz($R$8, $D$4, $D$5, $R12, V$9) - $D$6)</f>
        <v>2.7222128829980985E-2</v>
      </c>
      <c r="W12" s="17" cm="1">
        <f t="array" ref="W12">ABS(Oblicz($R$8, $D$4, $D$5, $R12, W$9) - $D$6)</f>
        <v>2.8319481644780264E-2</v>
      </c>
      <c r="X12" s="17" cm="1">
        <f t="array" ref="X12">ABS(Oblicz($R$8, $D$4, $D$5, $R12, X$9) - $D$6)</f>
        <v>2.6693158322913302E-2</v>
      </c>
      <c r="Z12" s="58">
        <v>840</v>
      </c>
      <c r="AA12" s="17" cm="1">
        <f t="array" ref="AA12">ABS(Oblicz($Z$8, $E$4, $E$5, $Z12, AA$9) - $E$6)</f>
        <v>2.4968466907675513E-3</v>
      </c>
      <c r="AB12" s="17" cm="1">
        <f t="array" ref="AB12">ABS(Oblicz($Z$8, $E$4, $E$5, $Z12, AB$9) - $E$6)</f>
        <v>2.5699304149089386E-3</v>
      </c>
      <c r="AC12" s="17" cm="1">
        <f t="array" ref="AC12">ABS(Oblicz($Z$8, $E$4, $E$5, $Z12, AC$9) - $E$6)</f>
        <v>3.0026776752367645E-3</v>
      </c>
      <c r="AD12" s="17" cm="1">
        <f t="array" ref="AD12">ABS(Oblicz($Z$8, $E$4, $E$5, $Z12, AD$9) - $E$6)</f>
        <v>2.4688241445955939E-3</v>
      </c>
      <c r="AE12" s="17" cm="1">
        <f t="array" ref="AE12">ABS(Oblicz($Z$8, $E$4, $E$5, $Z12, AE$9) - $E$6)</f>
        <v>2.6832973974530994E-3</v>
      </c>
      <c r="AF12" s="17" cm="1">
        <f t="array" ref="AF12">ABS(Oblicz($Z$8, $E$4, $E$5, $Z12, AF$9) - $E$6)</f>
        <v>2.3506939524442494E-3</v>
      </c>
    </row>
    <row r="13" spans="1:32" ht="15.75" thickBot="1" x14ac:dyDescent="0.3">
      <c r="B13" s="58">
        <v>1260</v>
      </c>
      <c r="C13" s="20" cm="1">
        <f t="array" ref="C13">ABS(Oblicz($B$8, $B$4, $B$5, $B13, C$9) - $B$6)</f>
        <v>2.6599918087022445E-4</v>
      </c>
      <c r="D13" s="21" cm="1">
        <f t="array" ref="D13">ABS(Oblicz($B$8, $B$4, $B$5, $B13, D$9) - $B$6)</f>
        <v>2.7262674655270658E-4</v>
      </c>
      <c r="E13" s="21" cm="1">
        <f t="array" ref="E13">ABS(Oblicz($B$8, $B$4, $B$5, $B13, E$9) - $B$6)</f>
        <v>3.185209305991421E-4</v>
      </c>
      <c r="F13" s="21" cm="1">
        <f t="array" ref="F13">ABS(Oblicz($B$8, $B$4, $B$5, $B13, F$9) - $B$6)</f>
        <v>2.6190643155588056E-4</v>
      </c>
      <c r="G13" s="21" cm="1">
        <f t="array" ref="G13">ABS(Oblicz($B$8, $B$4, $B$5, $B13, G$9) - $B$6)</f>
        <v>2.8465385876530469E-4</v>
      </c>
      <c r="H13" s="22" cm="1">
        <f t="array" ref="H13">ABS(Oblicz($B$8, $B$4, $B$5, $B13, H$9) - $B$6)</f>
        <v>2.4937834687932536E-4</v>
      </c>
      <c r="J13" s="58">
        <v>1260</v>
      </c>
      <c r="K13" s="17" cm="1">
        <f t="array" ref="K13">ABS(Oblicz($J$8, $C$4, $C$5, $J13, K$9) - $C$6)</f>
        <v>3.8403931780613743E-2</v>
      </c>
      <c r="L13" s="17" cm="1">
        <f t="array" ref="L13">ABS(Oblicz($J$8, $C$4, $C$5, $J13, L$9) - $C$6)</f>
        <v>3.5892371923836652E-2</v>
      </c>
      <c r="M13" s="17" cm="1">
        <f t="array" ref="M13">ABS(Oblicz($J$8, $C$4, $C$5, $J13, M$9) - $C$6)</f>
        <v>3.8629448744165185E-2</v>
      </c>
      <c r="N13" s="17" cm="1">
        <f t="array" ref="N13">ABS(Oblicz($J$8, $C$4, $C$5, $J13, N$9) - $C$6)</f>
        <v>3.5472044574595518E-2</v>
      </c>
      <c r="O13" s="17" cm="1">
        <f t="array" ref="O13">ABS(Oblicz($J$8, $C$4, $C$5, $J13, O$9) - $C$6)</f>
        <v>3.6902285486124065E-2</v>
      </c>
      <c r="P13" s="17" cm="1">
        <f t="array" ref="P13">ABS(Oblicz($J$8, $C$4, $C$5, $J13, P$9) - $C$6)</f>
        <v>3.4782548476932185E-2</v>
      </c>
      <c r="R13" s="58">
        <v>1260</v>
      </c>
      <c r="S13" s="17" cm="1">
        <f t="array" ref="S13">ABS(Oblicz($R$8, $D$4, $D$5, $R13, S$9) - $D$6)</f>
        <v>2.4067010210761186E-2</v>
      </c>
      <c r="T13" s="17" cm="1">
        <f t="array" ref="T13">ABS(Oblicz($R$8, $D$4, $D$5, $R13, T$9) - $D$6)</f>
        <v>2.2490928581211378E-2</v>
      </c>
      <c r="U13" s="17" cm="1">
        <f t="array" ref="U13">ABS(Oblicz($R$8, $D$4, $D$5, $R13, U$9) - $D$6)</f>
        <v>2.4205776871568219E-2</v>
      </c>
      <c r="V13" s="17" cm="1">
        <f t="array" ref="V13">ABS(Oblicz($R$8, $D$4, $D$5, $R13, V$9) - $D$6)</f>
        <v>2.2227635038414295E-2</v>
      </c>
      <c r="W13" s="17" cm="1">
        <f t="array" ref="W13">ABS(Oblicz($R$8, $D$4, $D$5, $R13, W$9) - $D$6)</f>
        <v>2.3123740765912171E-2</v>
      </c>
      <c r="X13" s="17" cm="1">
        <f t="array" ref="X13">ABS(Oblicz($R$8, $D$4, $D$5, $R13, X$9) - $D$6)</f>
        <v>2.1795658387043559E-2</v>
      </c>
      <c r="Z13" s="58">
        <v>1260</v>
      </c>
      <c r="AA13" s="17" cm="1">
        <f t="array" ref="AA13">ABS(Oblicz($Z$8, $E$4, $E$5, $Z13, AA$9) - $E$6)</f>
        <v>1.664552978813294E-3</v>
      </c>
      <c r="AB13" s="17" cm="1">
        <f t="array" ref="AB13">ABS(Oblicz($Z$8, $E$4, $E$5, $Z13, AB$9) - $E$6)</f>
        <v>1.7132869432572306E-3</v>
      </c>
      <c r="AC13" s="17" cm="1">
        <f t="array" ref="AC13">ABS(Oblicz($Z$8, $E$4, $E$5, $Z13, AC$9) - $E$6)</f>
        <v>2.0017851167866141E-3</v>
      </c>
      <c r="AD13" s="17" cm="1">
        <f t="array" ref="AD13">ABS(Oblicz($Z$8, $E$4, $E$5, $Z13, AD$9) - $E$6)</f>
        <v>1.6458827630638773E-3</v>
      </c>
      <c r="AE13" s="17" cm="1">
        <f t="array" ref="AE13">ABS(Oblicz($Z$8, $E$4, $E$5, $Z13, AE$9) - $E$6)</f>
        <v>1.7888649316364358E-3</v>
      </c>
      <c r="AF13" s="17" cm="1">
        <f t="array" ref="AF13">ABS(Oblicz($Z$8, $E$4, $E$5, $Z13, AF$9) - $E$6)</f>
        <v>1.56712930163172E-3</v>
      </c>
    </row>
    <row r="14" spans="1:32" ht="15.75" thickBot="1" x14ac:dyDescent="0.3">
      <c r="B14" s="58">
        <v>1680</v>
      </c>
      <c r="C14" s="20" cm="1">
        <f t="array" ref="C14">ABS(Oblicz($B$8, $B$4, $B$5, $B14, C$9) - $B$6)</f>
        <v>1.9933041060871126E-4</v>
      </c>
      <c r="D14" s="21" cm="1">
        <f t="array" ref="D14">ABS(Oblicz($B$8, $B$4, $B$5, $B14, D$9) - $B$6)</f>
        <v>2.0447968113934678E-4</v>
      </c>
      <c r="E14" s="21" cm="1">
        <f t="array" ref="E14">ABS(Oblicz($B$8, $B$4, $B$5, $B14, E$9) - $B$6)</f>
        <v>2.389043883825881E-4</v>
      </c>
      <c r="F14" s="21" cm="1">
        <f t="array" ref="F14">ABS(Oblicz($B$8, $B$4, $B$5, $B14, F$9) - $B$6)</f>
        <v>1.9643805986291341E-4</v>
      </c>
      <c r="G14" s="21" cm="1">
        <f t="array" ref="G14">ABS(Oblicz($B$8, $B$4, $B$5, $B14, G$9) - $B$6)</f>
        <v>2.135002961618504E-4</v>
      </c>
      <c r="H14" s="22" cm="1">
        <f t="array" ref="H14">ABS(Oblicz($B$8, $B$4, $B$5, $B14, H$9) - $B$6)</f>
        <v>1.8704088769894156E-4</v>
      </c>
      <c r="J14" s="58">
        <v>1680</v>
      </c>
      <c r="K14" s="17" cm="1">
        <f t="array" ref="K14">ABS(Oblicz($J$8, $C$4, $C$5, $J14, K$9) - $C$6)</f>
        <v>3.3258625932054642E-2</v>
      </c>
      <c r="L14" s="17" cm="1">
        <f t="array" ref="L14">ABS(Oblicz($J$8, $C$4, $C$5, $J14, L$9) - $C$6)</f>
        <v>3.108391221464224E-2</v>
      </c>
      <c r="M14" s="17" cm="1">
        <f t="array" ref="M14">ABS(Oblicz($J$8, $C$4, $C$5, $J14, M$9) - $C$6)</f>
        <v>3.3454348286062974E-2</v>
      </c>
      <c r="N14" s="17" cm="1">
        <f t="array" ref="N14">ABS(Oblicz($J$8, $C$4, $C$5, $J14, N$9) - $C$6)</f>
        <v>3.0719880735654126E-2</v>
      </c>
      <c r="O14" s="17" cm="1">
        <f t="array" ref="O14">ABS(Oblicz($J$8, $C$4, $C$5, $J14, O$9) - $C$6)</f>
        <v>3.1958532256432193E-2</v>
      </c>
      <c r="P14" s="17" cm="1">
        <f t="array" ref="P14">ABS(Oblicz($J$8, $C$4, $C$5, $J14, P$9) - $C$6)</f>
        <v>3.0122743339087155E-2</v>
      </c>
      <c r="R14" s="58">
        <v>1680</v>
      </c>
      <c r="S14" s="17" cm="1">
        <f t="array" ref="S14">ABS(Oblicz($R$8, $D$4, $D$5, $R14, S$9) - $D$6)</f>
        <v>2.0842349794640835E-2</v>
      </c>
      <c r="T14" s="17" cm="1">
        <f t="array" ref="T14">ABS(Oblicz($R$8, $D$4, $D$5, $R14, T$9) - $D$6)</f>
        <v>1.9478121990573971E-2</v>
      </c>
      <c r="U14" s="17" cm="1">
        <f t="array" ref="U14">ABS(Oblicz($R$8, $D$4, $D$5, $R14, U$9) - $D$6)</f>
        <v>2.0963338561243994E-2</v>
      </c>
      <c r="V14" s="17" cm="1">
        <f t="array" ref="V14">ABS(Oblicz($R$8, $D$4, $D$5, $R14, V$9) - $D$6)</f>
        <v>1.9250068941532472E-2</v>
      </c>
      <c r="W14" s="17" cm="1">
        <f t="array" ref="W14">ABS(Oblicz($R$8, $D$4, $D$5, $R14, W$9) - $D$6)</f>
        <v>2.0026171612937294E-2</v>
      </c>
      <c r="X14" s="17" cm="1">
        <f t="array" ref="X14">ABS(Oblicz($R$8, $D$4, $D$5, $R14, X$9) - $D$6)</f>
        <v>1.8875934131889593E-2</v>
      </c>
      <c r="Z14" s="58">
        <v>1680</v>
      </c>
      <c r="AA14" s="17" cm="1">
        <f t="array" ref="AA14">ABS(Oblicz($Z$8, $E$4, $E$5, $Z14, AA$9) - $E$6)</f>
        <v>1.2484117201654321E-3</v>
      </c>
      <c r="AB14" s="17" cm="1">
        <f t="array" ref="AB14">ABS(Oblicz($Z$8, $E$4, $E$5, $Z14, AB$9) - $E$6)</f>
        <v>1.284965207442923E-3</v>
      </c>
      <c r="AC14" s="17" cm="1">
        <f t="array" ref="AC14">ABS(Oblicz($Z$8, $E$4, $E$5, $Z14, AC$9) - $E$6)</f>
        <v>1.5013388375826331E-3</v>
      </c>
      <c r="AD14" s="17" cm="1">
        <f t="array" ref="AD14">ABS(Oblicz($Z$8, $E$4, $E$5, $Z14, AD$9) - $E$6)</f>
        <v>1.234412072298241E-3</v>
      </c>
      <c r="AE14" s="17" cm="1">
        <f t="array" ref="AE14">ABS(Oblicz($Z$8, $E$4, $E$5, $Z14, AE$9) - $E$6)</f>
        <v>1.3416486987272158E-3</v>
      </c>
      <c r="AF14" s="17" cm="1">
        <f t="array" ref="AF14">ABS(Oblicz($Z$8, $E$4, $E$5, $Z14, AF$9) - $E$6)</f>
        <v>1.1753469762205704E-3</v>
      </c>
    </row>
    <row r="15" spans="1:32" ht="15.75" thickBot="1" x14ac:dyDescent="0.3">
      <c r="B15" s="58">
        <v>2100</v>
      </c>
      <c r="C15" s="20" cm="1">
        <f t="array" ref="C15">ABS(Oblicz($B$8, $B$4, $B$5, $B15, C$9) - $B$6)</f>
        <v>1.5937850280556276E-4</v>
      </c>
      <c r="D15" s="21" cm="1">
        <f t="array" ref="D15">ABS(Oblicz($B$8, $B$4, $B$5, $B15, D$9) - $B$6)</f>
        <v>1.6358836435759194E-4</v>
      </c>
      <c r="E15" s="21" cm="1">
        <f t="array" ref="E15">ABS(Oblicz($B$8, $B$4, $B$5, $B15, E$9) - $B$6)</f>
        <v>1.9113008451876468E-4</v>
      </c>
      <c r="F15" s="21" cm="1">
        <f t="array" ref="F15">ABS(Oblicz($B$8, $B$4, $B$5, $B15, F$9) - $B$6)</f>
        <v>1.5715440220143151E-4</v>
      </c>
      <c r="G15" s="21" cm="1">
        <f t="array" ref="G15">ABS(Oblicz($B$8, $B$4, $B$5, $B15, G$9) - $B$6)</f>
        <v>1.7080499120236681E-4</v>
      </c>
      <c r="H15" s="22" cm="1">
        <f t="array" ref="H15">ABS(Oblicz($B$8, $B$4, $B$5, $B15, H$9) - $B$6)</f>
        <v>1.4963613206764315E-4</v>
      </c>
      <c r="J15" s="58">
        <v>2100</v>
      </c>
      <c r="K15" s="17" cm="1">
        <f t="array" ref="K15">ABS(Oblicz($J$8, $C$4, $C$5, $J15, K$9) - $C$6)</f>
        <v>2.9747336957168358E-2</v>
      </c>
      <c r="L15" s="17" cm="1">
        <f t="array" ref="L15">ABS(Oblicz($J$8, $C$4, $C$5, $J15, L$9) - $C$6)</f>
        <v>2.780240702719583E-2</v>
      </c>
      <c r="M15" s="17" cm="1">
        <f t="array" ref="M15">ABS(Oblicz($J$8, $C$4, $C$5, $J15, M$9) - $C$6)</f>
        <v>2.9922620645193909E-2</v>
      </c>
      <c r="N15" s="17" cm="1">
        <f t="array" ref="N15">ABS(Oblicz($J$8, $C$4, $C$5, $J15, N$9) - $C$6)</f>
        <v>2.7476798078094333E-2</v>
      </c>
      <c r="O15" s="17" cm="1">
        <f t="array" ref="O15">ABS(Oblicz($J$8, $C$4, $C$5, $J15, O$9) - $C$6)</f>
        <v>2.8584695933782989E-2</v>
      </c>
      <c r="P15" s="17" cm="1">
        <f t="array" ref="P15">ABS(Oblicz($J$8, $C$4, $C$5, $J15, P$9) - $C$6)</f>
        <v>2.6942693425686226E-2</v>
      </c>
      <c r="R15" s="58">
        <v>2100</v>
      </c>
      <c r="S15" s="17" cm="1">
        <f t="array" ref="S15">ABS(Oblicz($R$8, $D$4, $D$5, $R15, S$9) - $D$6)</f>
        <v>1.8641807066528848E-2</v>
      </c>
      <c r="T15" s="17" cm="1">
        <f t="array" ref="T15">ABS(Oblicz($R$8, $D$4, $D$5, $R15, T$9) - $D$6)</f>
        <v>1.7421980071294474E-2</v>
      </c>
      <c r="U15" s="17" cm="1">
        <f t="array" ref="U15">ABS(Oblicz($R$8, $D$4, $D$5, $R15, U$9) - $D$6)</f>
        <v>1.8750459537746789E-2</v>
      </c>
      <c r="V15" s="17" cm="1">
        <f t="array" ref="V15">ABS(Oblicz($R$8, $D$4, $D$5, $R15, V$9) - $D$6)</f>
        <v>1.7217984897103467E-2</v>
      </c>
      <c r="W15" s="17" cm="1">
        <f t="array" ref="W15">ABS(Oblicz($R$8, $D$4, $D$5, $R15, W$9) - $D$6)</f>
        <v>1.7912180319730187E-2</v>
      </c>
      <c r="X15" s="17" cm="1">
        <f t="array" ref="X15">ABS(Oblicz($R$8, $D$4, $D$5, $R15, X$9) - $D$6)</f>
        <v>1.6883331348770181E-2</v>
      </c>
      <c r="Z15" s="58">
        <v>2100</v>
      </c>
      <c r="AA15" s="17" cm="1">
        <f t="array" ref="AA15">ABS(Oblicz($Z$8, $E$4, $E$5, $Z15, AA$9) - $E$6)</f>
        <v>9.9872826012026295E-4</v>
      </c>
      <c r="AB15" s="17" cm="1">
        <f t="array" ref="AB15">ABS(Oblicz($Z$8, $E$4, $E$5, $Z15, AB$9) - $E$6)</f>
        <v>1.0279721659558483E-3</v>
      </c>
      <c r="AC15" s="17" cm="1">
        <f t="array" ref="AC15">ABS(Oblicz($Z$8, $E$4, $E$5, $Z15, AC$9) - $E$6)</f>
        <v>1.2010710700631755E-3</v>
      </c>
      <c r="AD15" s="17" cm="1">
        <f t="array" ref="AD15">ABS(Oblicz($Z$8, $E$4, $E$5, $Z15, AD$9) - $E$6)</f>
        <v>9.8752965783743818E-4</v>
      </c>
      <c r="AE15" s="17" cm="1">
        <f t="array" ref="AE15">ABS(Oblicz($Z$8, $E$4, $E$5, $Z15, AE$9) - $E$6)</f>
        <v>1.0733189589853254E-3</v>
      </c>
      <c r="AF15" s="17" cm="1">
        <f t="array" ref="AF15">ABS(Oblicz($Z$8, $E$4, $E$5, $Z15, AF$9) - $E$6)</f>
        <v>9.4027758098080838E-4</v>
      </c>
    </row>
    <row r="16" spans="1:32" ht="15.75" thickBot="1" x14ac:dyDescent="0.3">
      <c r="B16" s="59">
        <v>2520</v>
      </c>
      <c r="C16" s="23" cm="1">
        <f t="array" ref="C16">ABS(Oblicz($B$8, $B$4, $B$5, $B16, C$9) - $B$6)</f>
        <v>1.3276565363096182E-4</v>
      </c>
      <c r="D16" s="24" cm="1">
        <f t="array" ref="D16">ABS(Oblicz($B$8, $B$4, $B$5, $B16, D$9) - $B$6)</f>
        <v>1.3632620376125004E-4</v>
      </c>
      <c r="E16" s="24" cm="1">
        <f t="array" ref="E16">ABS(Oblicz($B$8, $B$4, $B$5, $B16, E$9) - $B$6)</f>
        <v>1.592787233890558E-4</v>
      </c>
      <c r="F16" s="24" cm="1">
        <f t="array" ref="F16">ABS(Oblicz($B$8, $B$4, $B$5, $B16, F$9) - $B$6)</f>
        <v>1.3096419900193723E-4</v>
      </c>
      <c r="G16" s="24" cm="1">
        <f t="array" ref="G16">ABS(Oblicz($B$8, $B$4, $B$5, $B16, G$9) - $B$6)</f>
        <v>1.4234013437208759E-4</v>
      </c>
      <c r="H16" s="25" cm="1">
        <f t="array" ref="H16">ABS(Oblicz($B$8, $B$4, $B$5, $B16, H$9) - $B$6)</f>
        <v>1.2469867802544776E-4</v>
      </c>
      <c r="J16" s="59">
        <v>2520</v>
      </c>
      <c r="K16" s="17" cm="1">
        <f t="array" ref="K16">ABS(Oblicz($J$8, $C$4, $C$5, $J16, K$9) - $C$6)</f>
        <v>2.7155429184353874E-2</v>
      </c>
      <c r="L16" s="17" cm="1">
        <f t="array" ref="L16">ABS(Oblicz($J$8, $C$4, $C$5, $J16, L$9) - $C$6)</f>
        <v>2.5380076535375107E-2</v>
      </c>
      <c r="M16" s="17" cm="1">
        <f t="array" ref="M16">ABS(Oblicz($J$8, $C$4, $C$5, $J16, M$9) - $C$6)</f>
        <v>2.7315576865916125E-2</v>
      </c>
      <c r="N16" s="17" cm="1">
        <f t="array" ref="N16">ABS(Oblicz($J$8, $C$4, $C$5, $J16, N$9) - $C$6)</f>
        <v>2.5082831933108007E-2</v>
      </c>
      <c r="O16" s="17" cm="1">
        <f t="array" ref="O16">ABS(Oblicz($J$8, $C$4, $C$5, $J16, O$9) - $C$6)</f>
        <v>2.6094208354637161E-2</v>
      </c>
      <c r="P16" s="17" cm="1">
        <f t="array" ref="P16">ABS(Oblicz($J$8, $C$4, $C$5, $J16, P$9) - $C$6)</f>
        <v>2.4595258010205345E-2</v>
      </c>
      <c r="R16" s="59">
        <v>2520</v>
      </c>
      <c r="S16" s="17" cm="1">
        <f t="array" ref="S16">ABS(Oblicz($R$8, $D$4, $D$5, $R16, S$9) - $D$6)</f>
        <v>1.7017467857501689E-2</v>
      </c>
      <c r="T16" s="17" cm="1">
        <f t="array" ref="T16">ABS(Oblicz($R$8, $D$4, $D$5, $R16, T$9) - $D$6)</f>
        <v>1.5904151883942674E-2</v>
      </c>
      <c r="U16" s="17" cm="1">
        <f t="array" ref="U16">ABS(Oblicz($R$8, $D$4, $D$5, $R16, U$9) - $D$6)</f>
        <v>1.7116919522128349E-2</v>
      </c>
      <c r="V16" s="17" cm="1">
        <f t="array" ref="V16">ABS(Oblicz($R$8, $D$4, $D$5, $R16, V$9) - $D$6)</f>
        <v>1.5717919467541641E-2</v>
      </c>
      <c r="W16" s="17" cm="1">
        <f t="array" ref="W16">ABS(Oblicz($R$8, $D$4, $D$5, $R16, W$9) - $D$6)</f>
        <v>1.6351647382466084E-2</v>
      </c>
      <c r="X16" s="17" cm="1">
        <f t="array" ref="X16">ABS(Oblicz($R$8, $D$4, $D$5, $R16, X$9) - $D$6)</f>
        <v>1.5412413503984812E-2</v>
      </c>
      <c r="Z16" s="59">
        <v>2520</v>
      </c>
      <c r="AA16" s="17" cm="1">
        <f t="array" ref="AA16">ABS(Oblicz($Z$8, $E$4, $E$5, $Z16, AA$9) - $E$6)</f>
        <v>8.3227304491062526E-4</v>
      </c>
      <c r="AB16" s="17" cm="1">
        <f t="array" ref="AB16">ABS(Oblicz($Z$8, $E$4, $E$5, $Z16, AB$9) - $E$6)</f>
        <v>8.5664347163127985E-4</v>
      </c>
      <c r="AC16" s="17" cm="1">
        <f t="array" ref="AC16">ABS(Oblicz($Z$8, $E$4, $E$5, $Z16, AC$9) - $E$6)</f>
        <v>1.0008925583919748E-3</v>
      </c>
      <c r="AD16" s="17" cm="1">
        <f t="array" ref="AD16">ABS(Oblicz($Z$8, $E$4, $E$5, $Z16, AD$9) - $E$6)</f>
        <v>8.2294138153216068E-4</v>
      </c>
      <c r="AE16" s="17" cm="1">
        <f t="array" ref="AE16">ABS(Oblicz($Z$8, $E$4, $E$5, $Z16, AE$9) - $E$6)</f>
        <v>8.944324658157754E-4</v>
      </c>
      <c r="AF16" s="17" cm="1">
        <f t="array" ref="AF16">ABS(Oblicz($Z$8, $E$4, $E$5, $Z16, AF$9) - $E$6)</f>
        <v>7.8356465081608206E-4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68944-545C-4056-AF75-4506994E7605}">
  <sheetPr codeName="Arkusz2"/>
  <dimension ref="A1:V26"/>
  <sheetViews>
    <sheetView workbookViewId="0">
      <selection activeCell="C11" sqref="C11"/>
    </sheetView>
  </sheetViews>
  <sheetFormatPr defaultRowHeight="15" x14ac:dyDescent="0.25"/>
  <cols>
    <col min="1" max="1" width="19.85546875" bestFit="1" customWidth="1"/>
    <col min="2" max="2" width="17.28515625" bestFit="1" customWidth="1"/>
    <col min="3" max="3" width="12" bestFit="1" customWidth="1"/>
    <col min="4" max="4" width="12.7109375" bestFit="1" customWidth="1"/>
    <col min="5" max="5" width="17.85546875" bestFit="1" customWidth="1"/>
    <col min="6" max="8" width="22.85546875" bestFit="1" customWidth="1"/>
    <col min="9" max="9" width="12.42578125" bestFit="1" customWidth="1"/>
    <col min="10" max="10" width="28.85546875" bestFit="1" customWidth="1"/>
    <col min="11" max="11" width="10.42578125" bestFit="1" customWidth="1"/>
    <col min="13" max="13" width="11.42578125" bestFit="1" customWidth="1"/>
    <col min="14" max="21" width="16.5703125" bestFit="1" customWidth="1"/>
  </cols>
  <sheetData>
    <row r="1" spans="1:22" ht="15.75" thickBot="1" x14ac:dyDescent="0.3"/>
    <row r="2" spans="1:22" ht="15.75" thickBot="1" x14ac:dyDescent="0.3">
      <c r="B2" s="2" t="s">
        <v>18</v>
      </c>
      <c r="C2" s="9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42">
        <v>8</v>
      </c>
    </row>
    <row r="3" spans="1:22" x14ac:dyDescent="0.25">
      <c r="B3" s="11" t="s">
        <v>42</v>
      </c>
      <c r="C3" s="5" t="s">
        <v>19</v>
      </c>
      <c r="D3" s="6" t="s">
        <v>20</v>
      </c>
      <c r="E3" s="6" t="s">
        <v>21</v>
      </c>
      <c r="F3" s="6" t="s">
        <v>22</v>
      </c>
      <c r="G3" s="6" t="s">
        <v>23</v>
      </c>
      <c r="H3" s="6" t="s">
        <v>24</v>
      </c>
      <c r="I3" s="6" t="s">
        <v>25</v>
      </c>
      <c r="J3" s="43" t="s">
        <v>26</v>
      </c>
    </row>
    <row r="4" spans="1:22" x14ac:dyDescent="0.25">
      <c r="B4" s="12" t="s">
        <v>28</v>
      </c>
      <c r="C4" s="4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44">
        <v>0</v>
      </c>
      <c r="V4" s="1"/>
    </row>
    <row r="5" spans="1:22" x14ac:dyDescent="0.25">
      <c r="B5" s="12" t="s">
        <v>29</v>
      </c>
      <c r="C5" s="4">
        <v>1</v>
      </c>
      <c r="D5" s="3">
        <v>1</v>
      </c>
      <c r="E5" s="3">
        <v>1</v>
      </c>
      <c r="F5" s="3">
        <v>1</v>
      </c>
      <c r="G5" s="3">
        <v>1</v>
      </c>
      <c r="H5" s="3">
        <v>1</v>
      </c>
      <c r="I5" s="3">
        <v>1</v>
      </c>
      <c r="J5" s="44">
        <v>1</v>
      </c>
      <c r="V5" s="1"/>
    </row>
    <row r="6" spans="1:22" ht="15.75" thickBot="1" x14ac:dyDescent="0.3">
      <c r="B6" s="13" t="s">
        <v>30</v>
      </c>
      <c r="C6" s="7">
        <v>1005</v>
      </c>
      <c r="D6" s="8">
        <f>2012/3</f>
        <v>670.66666666666663</v>
      </c>
      <c r="E6" s="8">
        <f>505</f>
        <v>505</v>
      </c>
      <c r="F6" s="8">
        <f>408</f>
        <v>408</v>
      </c>
      <c r="G6" s="8">
        <v>345</v>
      </c>
      <c r="H6" s="8">
        <f>41561/140</f>
        <v>296.8642857142857</v>
      </c>
      <c r="I6" s="8">
        <v>628</v>
      </c>
      <c r="J6" s="45">
        <f>1246061/140</f>
        <v>8900.4357142857134</v>
      </c>
      <c r="V6" s="1"/>
    </row>
    <row r="7" spans="1:22" x14ac:dyDescent="0.25">
      <c r="K7" s="1"/>
      <c r="V7" s="1"/>
    </row>
    <row r="8" spans="1:22" x14ac:dyDescent="0.25">
      <c r="V8" s="1"/>
    </row>
    <row r="9" spans="1:22" ht="15.75" thickBot="1" x14ac:dyDescent="0.3">
      <c r="V9" s="1"/>
    </row>
    <row r="10" spans="1:22" ht="15.75" thickBot="1" x14ac:dyDescent="0.3">
      <c r="A10" s="50" t="s">
        <v>40</v>
      </c>
      <c r="B10" s="47" t="s">
        <v>27</v>
      </c>
      <c r="C10" s="54" t="s">
        <v>43</v>
      </c>
      <c r="D10" s="54" t="s">
        <v>44</v>
      </c>
      <c r="E10" s="54" t="s">
        <v>45</v>
      </c>
      <c r="F10" s="54" t="s">
        <v>46</v>
      </c>
      <c r="G10" s="54" t="s">
        <v>47</v>
      </c>
      <c r="H10" s="54" t="s">
        <v>48</v>
      </c>
      <c r="I10" s="54" t="s">
        <v>49</v>
      </c>
      <c r="J10" s="54" t="s">
        <v>50</v>
      </c>
      <c r="V10" s="1"/>
    </row>
    <row r="11" spans="1:22" ht="15.75" thickBot="1" x14ac:dyDescent="0.3">
      <c r="A11" s="56">
        <v>420</v>
      </c>
      <c r="B11" s="55">
        <v>2</v>
      </c>
      <c r="C11" s="46" cm="1">
        <f t="array" ref="C11">Oblicz(C$3, C$4, C$5, $A$11, $B11)</f>
        <v>1005</v>
      </c>
      <c r="D11" s="53" cm="1">
        <f t="array" ref="D11">Oblicz(D$3, D$4, D$5, $A$11, $B11)</f>
        <v>670.67412926369809</v>
      </c>
      <c r="E11" s="53" cm="1">
        <f t="array" ref="E11">Oblicz(E$3, E$4, E$5, $A$11, $B11)</f>
        <v>505.01120508944319</v>
      </c>
      <c r="F11" s="53" cm="1">
        <f t="array" ref="F11">Oblicz(F$3, F$4, F$5, $A$11, $B11)</f>
        <v>408.0148529329216</v>
      </c>
      <c r="G11" s="53" cm="1">
        <f t="array" ref="G11">Oblicz(G$3, G$4, G$5, $A$11, $B11)</f>
        <v>345.01844972063469</v>
      </c>
      <c r="H11" s="53" cm="1">
        <f t="array" ref="H11">Oblicz(H$3, H$4, H$5, $A$11, $B11)</f>
        <v>296.88629105736476</v>
      </c>
      <c r="I11" s="53" cm="1">
        <f t="array" ref="I11">Oblicz(I$3, I$4, I$5, $A$11, $B11)</f>
        <v>628.06364711556341</v>
      </c>
      <c r="J11" s="53" cm="1">
        <f t="array" ref="J11">Oblicz(J$3, J$4, J$5, $A$11, $B11)</f>
        <v>8901.5921595260279</v>
      </c>
    </row>
    <row r="12" spans="1:22" x14ac:dyDescent="0.25">
      <c r="B12" s="51">
        <v>3</v>
      </c>
      <c r="C12" s="49" cm="1">
        <f t="array" ref="C12">Oblicz(C$3, C$4, C$5, $A$11, $B12)</f>
        <v>1005.0000000000001</v>
      </c>
      <c r="D12" s="48" cm="1">
        <f t="array" ref="D12">Oblicz(D$3, D$4, D$5, $A$11, $B12)</f>
        <v>670.66666666666674</v>
      </c>
      <c r="E12" s="48" cm="1">
        <f t="array" ref="E12">Oblicz(E$3, E$4, E$5, $A$11, $B12)</f>
        <v>505.00000000000011</v>
      </c>
      <c r="F12" s="48" cm="1">
        <f t="array" ref="F12">Oblicz(F$3, F$4, F$5, $A$11, $B12)</f>
        <v>408.00000004222255</v>
      </c>
      <c r="G12" s="48" cm="1">
        <f t="array" ref="G12">Oblicz(G$3, G$4, G$5, $A$11, $B12)</f>
        <v>345.00000010555652</v>
      </c>
      <c r="H12" s="48" cm="1">
        <f t="array" ref="H12">Oblicz(H$3, H$4, H$5, $A$11, $B12)</f>
        <v>296.86428592259585</v>
      </c>
      <c r="I12" s="48" cm="1">
        <f t="array" ref="I12">Oblicz(I$3, I$4, I$5, $A$11, $B12)</f>
        <v>628.00000089872401</v>
      </c>
      <c r="J12" s="48" cm="1">
        <f t="array" ref="J12">Oblicz(J$3, J$4, J$5, $A$11, $B12)</f>
        <v>8900.4357369771242</v>
      </c>
    </row>
    <row r="13" spans="1:22" x14ac:dyDescent="0.25">
      <c r="B13" s="51">
        <v>4</v>
      </c>
      <c r="C13" s="49" cm="1">
        <f t="array" ref="C13">Oblicz(C$3, C$4, C$5, $A$11, $B13)</f>
        <v>1005</v>
      </c>
      <c r="D13" s="48" cm="1">
        <f t="array" ref="D13">Oblicz(D$3, D$4, D$5, $A$11, $B13)</f>
        <v>670.66666666666663</v>
      </c>
      <c r="E13" s="48" cm="1">
        <f t="array" ref="E13">Oblicz(E$3, E$4, E$5, $A$11, $B13)</f>
        <v>505</v>
      </c>
      <c r="F13" s="48" cm="1">
        <f t="array" ref="F13">Oblicz(F$3, F$4, F$5, $A$11, $B13)</f>
        <v>408.00000005819214</v>
      </c>
      <c r="G13" s="48" cm="1">
        <f t="array" ref="G13">Oblicz(G$3, G$4, G$5, $A$11, $B13)</f>
        <v>345.0000001454805</v>
      </c>
      <c r="H13" s="48" cm="1">
        <f t="array" ref="H13">Oblicz(H$3, H$4, H$5, $A$11, $B13)</f>
        <v>296.86428599862398</v>
      </c>
      <c r="I13" s="48" cm="1">
        <f t="array" ref="I13">Oblicz(I$3, I$4, I$5, $A$11, $B13)</f>
        <v>628.00000121449659</v>
      </c>
      <c r="J13" s="48" cm="1">
        <f t="array" ref="J13">Oblicz(J$3, J$4, J$5, $A$11, $B13)</f>
        <v>8900.4357446362246</v>
      </c>
    </row>
    <row r="14" spans="1:22" x14ac:dyDescent="0.25">
      <c r="B14" s="51">
        <v>5</v>
      </c>
      <c r="C14" s="49" cm="1">
        <f t="array" ref="C14">Oblicz(C$3, C$4, C$5, $A$11, $B14)</f>
        <v>1005.0000000000003</v>
      </c>
      <c r="D14" s="48" cm="1">
        <f t="array" ref="D14">Oblicz(D$3, D$4, D$5, $A$11, $B14)</f>
        <v>670.66666666666674</v>
      </c>
      <c r="E14" s="48" cm="1">
        <f t="array" ref="E14">Oblicz(E$3, E$4, E$5, $A$11, $B14)</f>
        <v>505</v>
      </c>
      <c r="F14" s="48" cm="1">
        <f t="array" ref="F14">Oblicz(F$3, F$4, F$5, $A$11, $B14)</f>
        <v>408</v>
      </c>
      <c r="G14" s="48" cm="1">
        <f t="array" ref="G14">Oblicz(G$3, G$4, G$5, $A$11, $B14)</f>
        <v>345</v>
      </c>
      <c r="H14" s="48" cm="1">
        <f t="array" ref="H14">Oblicz(H$3, H$4, H$5, $A$11, $B14)</f>
        <v>296.86428571428763</v>
      </c>
      <c r="I14" s="48" cm="1">
        <f t="array" ref="I14">Oblicz(I$3, I$4, I$5, $A$11, $B14)</f>
        <v>628.00000000001717</v>
      </c>
      <c r="J14" s="48" cm="1">
        <f t="array" ref="J14">Oblicz(J$3, J$4, J$5, $A$11, $B14)</f>
        <v>8900.435714286421</v>
      </c>
    </row>
    <row r="15" spans="1:22" x14ac:dyDescent="0.25">
      <c r="B15" s="51">
        <v>6</v>
      </c>
      <c r="C15" s="49" cm="1">
        <f t="array" ref="C15">Oblicz(C$3, C$4, C$5, $A$11, $B15)</f>
        <v>1005</v>
      </c>
      <c r="D15" s="48" cm="1">
        <f t="array" ref="D15">Oblicz(D$3, D$4, D$5, $A$11, $B15)</f>
        <v>670.66666666666674</v>
      </c>
      <c r="E15" s="48" cm="1">
        <f t="array" ref="E15">Oblicz(E$3, E$4, E$5, $A$11, $B15)</f>
        <v>505</v>
      </c>
      <c r="F15" s="48" cm="1">
        <f t="array" ref="F15">Oblicz(F$3, F$4, F$5, $A$11, $B15)</f>
        <v>407.99999999999994</v>
      </c>
      <c r="G15" s="48" cm="1">
        <f t="array" ref="G15">Oblicz(G$3, G$4, G$5, $A$11, $B15)</f>
        <v>344.99999999999994</v>
      </c>
      <c r="H15" s="48" cm="1">
        <f t="array" ref="H15">Oblicz(H$3, H$4, H$5, $A$11, $B15)</f>
        <v>296.86428571428894</v>
      </c>
      <c r="I15" s="48" cm="1">
        <f t="array" ref="I15">Oblicz(I$3, I$4, I$5, $A$11, $B15)</f>
        <v>628.00000000002797</v>
      </c>
      <c r="J15" s="48" cm="1">
        <f t="array" ref="J15">Oblicz(J$3, J$4, J$5, $A$11, $B15)</f>
        <v>8900.4357142868448</v>
      </c>
    </row>
    <row r="16" spans="1:22" ht="15.75" thickBot="1" x14ac:dyDescent="0.3">
      <c r="B16" s="52">
        <v>7</v>
      </c>
      <c r="C16" s="49" cm="1">
        <f t="array" ref="C16">Oblicz(C$3, C$4, C$5, $A$11, $B16)</f>
        <v>1005</v>
      </c>
      <c r="D16" s="48" cm="1">
        <f t="array" ref="D16">Oblicz(D$3, D$4, D$5, $A$11, $B16)</f>
        <v>670.66666666666663</v>
      </c>
      <c r="E16" s="48" cm="1">
        <f t="array" ref="E16">Oblicz(E$3, E$4, E$5, $A$11, $B16)</f>
        <v>504.99999999999994</v>
      </c>
      <c r="F16" s="48" cm="1">
        <f t="array" ref="F16">Oblicz(F$3, F$4, F$5, $A$11, $B16)</f>
        <v>407.99999999999989</v>
      </c>
      <c r="G16" s="48" cm="1">
        <f t="array" ref="G16">Oblicz(G$3, G$4, G$5, $A$11, $B16)</f>
        <v>345</v>
      </c>
      <c r="H16" s="48" cm="1">
        <f t="array" ref="H16">Oblicz(H$3, H$4, H$5, $A$11, $B16)</f>
        <v>296.8642857142857</v>
      </c>
      <c r="I16" s="48" cm="1">
        <f t="array" ref="I16">Oblicz(I$3, I$4, I$5, $A$11, $B16)</f>
        <v>628</v>
      </c>
      <c r="J16" s="48" cm="1">
        <f t="array" ref="J16">Oblicz(J$3, J$4, J$5, $A$11, $B16)</f>
        <v>8900.4357142857116</v>
      </c>
    </row>
    <row r="19" spans="2:10" ht="15.75" thickBot="1" x14ac:dyDescent="0.3"/>
    <row r="20" spans="2:10" ht="15.75" thickBot="1" x14ac:dyDescent="0.3">
      <c r="B20" s="33" t="s">
        <v>31</v>
      </c>
      <c r="C20" s="9" t="s">
        <v>32</v>
      </c>
      <c r="D20" s="10" t="s">
        <v>33</v>
      </c>
      <c r="E20" s="10" t="s">
        <v>34</v>
      </c>
      <c r="F20" s="10" t="s">
        <v>35</v>
      </c>
      <c r="G20" s="10" t="s">
        <v>36</v>
      </c>
      <c r="H20" s="10" t="s">
        <v>37</v>
      </c>
      <c r="I20" s="10" t="s">
        <v>38</v>
      </c>
      <c r="J20" s="32" t="s">
        <v>39</v>
      </c>
    </row>
    <row r="21" spans="2:10" x14ac:dyDescent="0.25">
      <c r="B21" s="12">
        <v>2</v>
      </c>
      <c r="C21" s="34">
        <f t="shared" ref="C21:J26" si="0">ABS(C11-C$6)</f>
        <v>0</v>
      </c>
      <c r="D21" s="35">
        <f t="shared" si="0"/>
        <v>7.4625970314627921E-3</v>
      </c>
      <c r="E21" s="35">
        <f t="shared" si="0"/>
        <v>1.1205089443194538E-2</v>
      </c>
      <c r="F21" s="35">
        <f t="shared" si="0"/>
        <v>1.4852932921598949E-2</v>
      </c>
      <c r="G21" s="35">
        <f t="shared" si="0"/>
        <v>1.8449720634691857E-2</v>
      </c>
      <c r="H21" s="35">
        <f t="shared" si="0"/>
        <v>2.2005343079058548E-2</v>
      </c>
      <c r="I21" s="35">
        <f t="shared" si="0"/>
        <v>6.3647115563412626E-2</v>
      </c>
      <c r="J21" s="36">
        <f t="shared" si="0"/>
        <v>1.1564452403144969</v>
      </c>
    </row>
    <row r="22" spans="2:10" x14ac:dyDescent="0.25">
      <c r="B22" s="12">
        <v>3</v>
      </c>
      <c r="C22" s="37">
        <f t="shared" si="0"/>
        <v>1.1368683772161603E-13</v>
      </c>
      <c r="D22" s="30">
        <f t="shared" si="0"/>
        <v>1.1368683772161603E-13</v>
      </c>
      <c r="E22" s="30">
        <f t="shared" si="0"/>
        <v>1.1368683772161603E-13</v>
      </c>
      <c r="F22" s="31">
        <f t="shared" si="0"/>
        <v>4.2222552565363003E-8</v>
      </c>
      <c r="G22" s="31">
        <f t="shared" si="0"/>
        <v>1.0555652352195466E-7</v>
      </c>
      <c r="H22" s="31">
        <f t="shared" si="0"/>
        <v>2.0831015490330174E-7</v>
      </c>
      <c r="I22" s="31">
        <f t="shared" si="0"/>
        <v>8.9872401076718234E-7</v>
      </c>
      <c r="J22" s="38">
        <f t="shared" si="0"/>
        <v>2.269141077704262E-5</v>
      </c>
    </row>
    <row r="23" spans="2:10" x14ac:dyDescent="0.25">
      <c r="B23" s="12">
        <v>4</v>
      </c>
      <c r="C23" s="37">
        <f t="shared" si="0"/>
        <v>0</v>
      </c>
      <c r="D23" s="30">
        <f t="shared" si="0"/>
        <v>0</v>
      </c>
      <c r="E23" s="30">
        <f t="shared" si="0"/>
        <v>0</v>
      </c>
      <c r="F23" s="31">
        <f t="shared" si="0"/>
        <v>5.8192142660118407E-8</v>
      </c>
      <c r="G23" s="31">
        <f t="shared" si="0"/>
        <v>1.4548049875884317E-7</v>
      </c>
      <c r="H23" s="31">
        <f t="shared" si="0"/>
        <v>2.8433828447305132E-7</v>
      </c>
      <c r="I23" s="31">
        <f t="shared" si="0"/>
        <v>1.2144965921834228E-6</v>
      </c>
      <c r="J23" s="38">
        <f t="shared" si="0"/>
        <v>3.0350511224241927E-5</v>
      </c>
    </row>
    <row r="24" spans="2:10" x14ac:dyDescent="0.25">
      <c r="B24" s="12">
        <v>5</v>
      </c>
      <c r="C24" s="37">
        <f t="shared" si="0"/>
        <v>3.4106051316484809E-13</v>
      </c>
      <c r="D24" s="30">
        <f t="shared" si="0"/>
        <v>1.1368683772161603E-13</v>
      </c>
      <c r="E24" s="30">
        <f t="shared" si="0"/>
        <v>0</v>
      </c>
      <c r="F24" s="30">
        <f t="shared" si="0"/>
        <v>0</v>
      </c>
      <c r="G24" s="30">
        <f t="shared" si="0"/>
        <v>0</v>
      </c>
      <c r="H24" s="31">
        <f t="shared" si="0"/>
        <v>1.9326762412674725E-12</v>
      </c>
      <c r="I24" s="31">
        <f t="shared" si="0"/>
        <v>1.716671249596402E-11</v>
      </c>
      <c r="J24" s="38">
        <f t="shared" si="0"/>
        <v>7.0758687797933817E-10</v>
      </c>
    </row>
    <row r="25" spans="2:10" x14ac:dyDescent="0.25">
      <c r="B25" s="12">
        <v>6</v>
      </c>
      <c r="C25" s="37">
        <f t="shared" si="0"/>
        <v>0</v>
      </c>
      <c r="D25" s="30">
        <f t="shared" si="0"/>
        <v>1.1368683772161603E-13</v>
      </c>
      <c r="E25" s="30">
        <f t="shared" si="0"/>
        <v>0</v>
      </c>
      <c r="F25" s="30">
        <f t="shared" si="0"/>
        <v>5.6843418860808015E-14</v>
      </c>
      <c r="G25" s="30">
        <f t="shared" si="0"/>
        <v>5.6843418860808015E-14</v>
      </c>
      <c r="H25" s="31">
        <f t="shared" si="0"/>
        <v>3.2400748750660568E-12</v>
      </c>
      <c r="I25" s="31">
        <f t="shared" si="0"/>
        <v>2.7966962079517543E-11</v>
      </c>
      <c r="J25" s="38">
        <f t="shared" si="0"/>
        <v>1.1314114090055227E-9</v>
      </c>
    </row>
    <row r="26" spans="2:10" ht="15.75" thickBot="1" x14ac:dyDescent="0.3">
      <c r="B26" s="13">
        <v>7</v>
      </c>
      <c r="C26" s="39">
        <f t="shared" si="0"/>
        <v>0</v>
      </c>
      <c r="D26" s="40">
        <f t="shared" si="0"/>
        <v>0</v>
      </c>
      <c r="E26" s="40">
        <f t="shared" si="0"/>
        <v>5.6843418860808015E-14</v>
      </c>
      <c r="F26" s="40">
        <f t="shared" si="0"/>
        <v>1.1368683772161603E-13</v>
      </c>
      <c r="G26" s="40">
        <f t="shared" si="0"/>
        <v>0</v>
      </c>
      <c r="H26" s="40">
        <f t="shared" si="0"/>
        <v>0</v>
      </c>
      <c r="I26" s="40">
        <f t="shared" si="0"/>
        <v>0</v>
      </c>
      <c r="J26" s="41">
        <f t="shared" si="0"/>
        <v>1.8189894035458565E-12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6EB747EDBD39CD45B714BEA3A2E054A0" ma:contentTypeVersion="4" ma:contentTypeDescription="Utwórz nowy dokument." ma:contentTypeScope="" ma:versionID="9f17b42d62e04c3952444c6f892e6c3f">
  <xsd:schema xmlns:xsd="http://www.w3.org/2001/XMLSchema" xmlns:xs="http://www.w3.org/2001/XMLSchema" xmlns:p="http://schemas.microsoft.com/office/2006/metadata/properties" xmlns:ns2="cf233b8b-9602-4a43-87ff-45ca170ac0fe" targetNamespace="http://schemas.microsoft.com/office/2006/metadata/properties" ma:root="true" ma:fieldsID="614b56b28c4e5086f7d684b0c4ee82af" ns2:_="">
    <xsd:import namespace="cf233b8b-9602-4a43-87ff-45ca170ac0f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233b8b-9602-4a43-87ff-45ca170ac0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94E201-1DED-4696-99D6-D8477D2A0C3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4AE985D-55A3-426F-BC75-E916CED7FF01}">
  <ds:schemaRefs>
    <ds:schemaRef ds:uri="http://www.w3.org/XML/1998/namespace"/>
    <ds:schemaRef ds:uri="http://purl.org/dc/terms/"/>
    <ds:schemaRef ds:uri="http://schemas.microsoft.com/office/2006/metadata/properties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cf233b8b-9602-4a43-87ff-45ca170ac0fe"/>
  </ds:schemaRefs>
</ds:datastoreItem>
</file>

<file path=customXml/itemProps3.xml><?xml version="1.0" encoding="utf-8"?>
<ds:datastoreItem xmlns:ds="http://schemas.openxmlformats.org/officeDocument/2006/customXml" ds:itemID="{B4AED483-2B7A-4330-AB4F-903BD593875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Arkusz2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Maślak Krzysztof (STUD)</dc:creator>
  <cp:keywords/>
  <dc:description/>
  <cp:lastModifiedBy>Niewęgłowski Mariusz</cp:lastModifiedBy>
  <cp:revision/>
  <dcterms:created xsi:type="dcterms:W3CDTF">2023-11-13T08:16:36Z</dcterms:created>
  <dcterms:modified xsi:type="dcterms:W3CDTF">2024-01-10T21:40:28Z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0x0101006EB747EDBD39CD45B714BEA3A2E054A0</vt:lpwstr>
  </property>
  <property fmtid="{D5CDD505-2E9C-101B-9397-08002B2CF9AE}" pid="3" name="Order">
    <vt:r8>2300</vt:r8>
  </property>
  <property fmtid="{D5CDD505-2E9C-101B-9397-08002B2CF9AE}" pid="4" name="_ExtendedDescription">
    <vt:lpwstr/>
  </property>
  <property fmtid="{D5CDD505-2E9C-101B-9397-08002B2CF9AE}" pid="5" name="_CopySource">
    <vt:lpwstr>https://wutwaw-my.sharepoint.com/personal/01180625_pw_edu_pl/Documents/NEWTON-COTES.xlsm</vt:lpwstr>
  </property>
</Properties>
</file>